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db746018364a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1da091e7e5649d6"/>
    <x:sheet xmlns:r="http://schemas.openxmlformats.org/officeDocument/2006/relationships" name="PGIM Returns" sheetId="2" r:id="Rfef642b51c424498"/>
    <x:sheet xmlns:r="http://schemas.openxmlformats.org/officeDocument/2006/relationships" name="Transactions" sheetId="3" r:id="Rdc5d3675736c418b"/>
    <x:sheet xmlns:r="http://schemas.openxmlformats.org/officeDocument/2006/relationships" name="Positions" sheetId="4" r:id="R576acf1247d64632"/>
    <x:sheet xmlns:r="http://schemas.openxmlformats.org/officeDocument/2006/relationships" name="Performance" sheetId="5" r:id="R8173c96686b148ef"/>
    <x:sheet xmlns:r="http://schemas.openxmlformats.org/officeDocument/2006/relationships" name="Reconciliation" sheetId="6" r:id="Rcd0e7ebce36944fd"/>
    <x:sheet xmlns:r="http://schemas.openxmlformats.org/officeDocument/2006/relationships" name="Methods" sheetId="7" r:id="R4c643dd7f13e48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1">
    <x:numFmt numFmtId="200" formatCode="0.00%;(0.00%);&quot;–&quot;"/>
    <x:numFmt numFmtId="201" formatCode="0.0000"/>
    <x:numFmt numFmtId="202" formatCode="0.00"/>
    <x:numFmt numFmtId="203" formatCode="#,##0.00;(#,##0.00);&quot;–&quot;"/>
    <x:numFmt numFmtId="204" formatCode="0.0000%"/>
    <x:numFmt numFmtId="205" formatCode="0.000000"/>
    <x:numFmt numFmtId="206" formatCode="#,##0.0000"/>
    <x:numFmt numFmtId="207" formatCode="mmm d, yyyy"/>
    <x:numFmt numFmtId="208" formatCode="#,##0.00;(#,##0.00);&quot;-&quot;"/>
    <x:numFmt numFmtId="209" formatCode="0"/>
    <x:numFmt numFmtId="210" formatCode="#,##0.000000;(#,##0.000000);&quot;-&quot;"/>
  </x:numFmts>
  <x:fonts count="9">
    <x:font>
      <x:sz val="11"/>
      <x:name val="Carlito"/>
    </x:font>
    <x:font>
      <x:sz val="11"/>
      <x:name val="Aptos"/>
    </x:font>
    <x:font>
      <x:b/>
      <x:sz val="21"/>
      <x:color rgb="FFFFFFFF"/>
      <x:name val="Aptos"/>
    </x:font>
    <x:font>
      <x:sz val="11"/>
      <x:color rgb="FF607080"/>
      <x:name val="Aptos"/>
    </x:font>
    <x:font>
      <x:b/>
      <x:sz val="11"/>
      <x:color rgb="FFFFFFFF"/>
      <x:name val="Aptos"/>
    </x:font>
    <x:font>
      <x:sz val="11"/>
      <x:color rgb="FF202F3E"/>
      <x:name val="Aptos"/>
    </x:font>
    <x:font>
      <x:sz val="11"/>
      <x:color rgb="FF1764A0"/>
      <x:name val="Aptos"/>
    </x:font>
    <x:font>
      <x:sz val="10"/>
      <x:color rgb="FF607080"/>
      <x:name val="Aptos"/>
    </x:font>
    <x:font>
      <x:sz val="11"/>
      <x:color rgb="FF16704A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007F86"/>
      </x:patternFill>
    </x:fill>
    <x:fill>
      <x:patternFill patternType="solid">
        <x:fgColor rgb="FFDCEFED"/>
      </x:patternFill>
    </x:fill>
    <x:fill>
      <x:patternFill patternType="solid">
        <x:fgColor rgb="FF007F86"/>
      </x:patternFill>
    </x:fill>
  </x:fills>
  <x:borders count="1">
    <x:border/>
  </x:borders>
  <x:cellStyleXfs count="1">
    <x:xf numFmtId="0" fontId="0" fillId="0" borderId="0"/>
  </x:cellStyleXfs>
  <x:cellXfs count="7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200" fontId="1" fillId="0" borderId="0" xfId="0" applyNumberFormat="1" applyFont="1" applyFill="1" applyBorder="1"/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0" fontId="6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2" fontId="5" fillId="0" borderId="0" xfId="0" applyNumberFormat="1" applyFont="1" applyFill="1" applyBorder="1"/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203" fontId="1" fillId="0" borderId="0" xfId="0" applyNumberFormat="1" applyFont="1" applyFill="1" applyBorder="1"/>
    <x:xf numFmtId="203" fontId="5" fillId="0" borderId="0" xfId="0" applyNumberFormat="1" applyFont="1" applyFill="1" applyBorder="1"/>
    <x:xf numFmtId="0" fontId="6" fillId="0" borderId="0" xfId="0" applyNumberFormat="1" applyFont="1" applyFill="1" applyBorder="1"/>
    <x:xf numFmtId="203" fontId="6" fillId="0" borderId="0" xfId="0" applyNumberFormat="1" applyFont="1" applyFill="1" applyBorder="1"/>
    <x:xf numFmtId="0" fontId="8" fillId="0" borderId="0" xfId="0" applyNumberFormat="1" applyFont="1" applyFill="1" applyBorder="1"/>
    <x:xf numFmtId="203" fontId="8" fillId="0" borderId="0" xfId="0" applyNumberFormat="1" applyFont="1" applyFill="1" applyBorder="1"/>
    <x:xf numFmtId="204" fontId="1" fillId="0" borderId="0" xfId="0" applyNumberFormat="1" applyFont="1" applyFill="1" applyBorder="1"/>
    <x:xf numFmtId="204" fontId="5" fillId="0" borderId="0" xfId="0" applyNumberFormat="1" applyFont="1" applyFill="1" applyBorder="1"/>
    <x:xf numFmtId="201" fontId="1" fillId="0" borderId="0" xfId="0" applyNumberFormat="1" applyFont="1" applyFill="1" applyBorder="1"/>
    <x:xf numFmtId="205" fontId="1" fillId="0" borderId="0" xfId="0" applyNumberFormat="1" applyFont="1" applyFill="1" applyBorder="1"/>
    <x:xf numFmtId="205" fontId="8" fillId="0" borderId="0" xfId="0" applyNumberFormat="1" applyFont="1" applyFill="1" applyBorder="1"/>
    <x:xf numFmtId="205" fontId="5" fillId="0" borderId="0" xfId="0" applyNumberFormat="1" applyFont="1" applyFill="1" applyBorder="1"/>
    <x:xf numFmtId="0" fontId="1" fillId="4" borderId="0" xfId="0" applyNumberFormat="1" applyFont="1" applyFill="1" applyBorder="1"/>
    <x:xf numFmtId="203" fontId="5" fillId="4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wrapText="1"/>
    </x:xf>
    <x:xf numFmtId="206" fontId="5" fillId="0" borderId="0" xfId="0" applyNumberFormat="1" applyFont="1" applyFill="1" applyBorder="1" applyAlignment="1">
      <x:alignment wrapText="1"/>
    </x:xf>
    <x:xf numFmtId="206" fontId="8" fillId="0" borderId="0" xfId="0" applyNumberFormat="1" applyFont="1" applyFill="1" applyBorder="1" applyAlignment="1">
      <x:alignment wrapText="1"/>
    </x:xf>
    <x:xf numFmtId="204" fontId="8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203" fontId="8" fillId="0" borderId="0" xfId="0" applyNumberFormat="1" applyFont="1" applyFill="1" applyBorder="1" applyAlignment="1">
      <x:alignment vertical="center"/>
    </x:xf>
    <x:xf numFmtId="204" fontId="8" fillId="0" borderId="0" xfId="0" applyNumberFormat="1" applyFont="1" applyFill="1" applyBorder="1" applyAlignment="1">
      <x:alignment vertical="center"/>
    </x:xf>
    <x:xf numFmtId="200" fontId="6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201" fontId="5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2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203" fontId="6" fillId="0" borderId="0" xfId="0" applyNumberFormat="1" applyFont="1" applyFill="1" applyBorder="1" applyAlignment="1">
      <x:alignment vertical="center"/>
    </x:xf>
    <x:xf numFmtId="203" fontId="5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205" fontId="8" fillId="0" borderId="0" xfId="0" applyNumberFormat="1" applyFont="1" applyFill="1" applyBorder="1" applyAlignment="1">
      <x:alignment vertical="center"/>
    </x:xf>
    <x:xf numFmtId="204" fontId="5" fillId="0" borderId="0" xfId="0" applyNumberFormat="1" applyFont="1" applyFill="1" applyBorder="1" applyAlignment="1">
      <x:alignment vertical="center"/>
    </x:xf>
    <x:xf numFmtId="205" fontId="5" fillId="0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203" fontId="5" fillId="4" borderId="0" xfId="0" applyNumberFormat="1" applyFont="1" applyFill="1" applyBorder="1" applyAlignment="1">
      <x:alignment vertical="center"/>
    </x:xf>
    <x:xf numFmtId="206" fontId="5" fillId="0" borderId="0" xfId="0" applyNumberFormat="1" applyFont="1" applyFill="1" applyBorder="1" applyAlignment="1">
      <x:alignment vertical="center" wrapText="1"/>
    </x:xf>
    <x:xf numFmtId="206" fontId="8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vertical="center"/>
    </x:xf>
    <x:xf numFmtId="207" fontId="5" fillId="0" borderId="0" xfId="0" applyNumberFormat="1" applyFont="1" applyFill="1" applyBorder="1" applyAlignment="1">
      <x:alignment vertical="center"/>
    </x:xf>
    <x:xf numFmtId="208" fontId="5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 wrapText="1"/>
    </x:xf>
    <x:xf numFmtId="204" fontId="5" fillId="0" borderId="0" xfId="0" applyNumberFormat="1" applyFont="1" applyFill="1" applyBorder="1" applyAlignment="1">
      <x:alignment vertical="center" wrapText="1"/>
    </x:xf>
    <x:xf numFmtId="209" fontId="5" fillId="0" borderId="0" xfId="0" applyNumberFormat="1" applyFont="1" applyFill="1" applyBorder="1" applyAlignment="1">
      <x:alignment vertical="center" wrapText="1"/>
    </x:xf>
    <x:xf numFmtId="201" fontId="5" fillId="0" borderId="0" xfId="0" applyNumberFormat="1" applyFont="1" applyFill="1" applyBorder="1" applyAlignment="1">
      <x:alignment vertical="center" wrapText="1"/>
    </x:xf>
    <x:xf numFmtId="210" fontId="5" fillId="0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c41087213d44dc" /><Relationship Type="http://schemas.openxmlformats.org/officeDocument/2006/relationships/theme" Target="/xl/theme/theme1.xml" Id="Rb9fb4174d6454785" /><Relationship Type="http://schemas.openxmlformats.org/officeDocument/2006/relationships/sharedStrings" Target="/xl/sharedStrings.xml" Id="Re24584ac36d34dc3" /><Relationship Type="http://schemas.openxmlformats.org/officeDocument/2006/relationships/worksheet" Target="/xl/worksheets/sheet1.xml" Id="R71da091e7e5649d6" /><Relationship Type="http://schemas.openxmlformats.org/officeDocument/2006/relationships/worksheet" Target="/xl/worksheets/sheet2.xml" Id="Rfef642b51c424498" /><Relationship Type="http://schemas.openxmlformats.org/officeDocument/2006/relationships/worksheet" Target="/xl/worksheets/sheet3.xml" Id="Rdc5d3675736c418b" /><Relationship Type="http://schemas.openxmlformats.org/officeDocument/2006/relationships/worksheet" Target="/xl/worksheets/sheet4.xml" Id="R576acf1247d64632" /><Relationship Type="http://schemas.openxmlformats.org/officeDocument/2006/relationships/worksheet" Target="/xl/worksheets/sheet5.xml" Id="R8173c96686b148ef" /><Relationship Type="http://schemas.openxmlformats.org/officeDocument/2006/relationships/worksheet" Target="/xl/worksheets/sheet6.xml" Id="Rcd0e7ebce36944fd" /><Relationship Type="http://schemas.openxmlformats.org/officeDocument/2006/relationships/worksheet" Target="/xl/worksheets/sheet7.xml" Id="R4c643dd7f13e48c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07F86"/>
  </x:sheetPr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3" hidden="0" customWidth="1"/>
    <x:col min="2" max="2" width="33" hidden="0" customWidth="1"/>
    <x:col min="3" max="3" width="22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</x:cols>
  <x:sheetData>
    <x:row r="1" ht="23" customHeight="1">
      <x:c r="A1" s="38"/>
      <x:c r="B1" s="38"/>
      <x:c r="C1" s="38"/>
      <x:c r="D1" s="38"/>
      <x:c r="E1" s="38"/>
      <x:c r="F1" s="38"/>
      <x:c r="G1" s="38"/>
      <x:c r="H1" s="38"/>
      <x:c r="I1" s="38"/>
      <x:c r="J1" s="38"/>
      <x:c r="K1" s="38"/>
      <x:c r="L1" s="38"/>
      <x:c r="M1" s="38"/>
      <x:c r="N1" s="38"/>
      <x:c r="O1" s="38"/>
      <x:c r="P1" s="38"/>
      <x:c r="Q1" s="38"/>
      <x:c r="R1" s="38"/>
      <x:c r="S1" s="38"/>
      <x:c r="T1" s="38"/>
      <x:c r="U1" s="38"/>
    </x:row>
    <x:row r="2" ht="23" customHeight="1">
      <x:c r="A2" s="38"/>
      <x:c r="B2" s="4" t="str">
        <x:v>Portfolio performance review</x:v>
      </x:c>
      <x:c r="C2" s="4"/>
      <x:c r="D2" s="4"/>
      <x:c r="E2" s="4"/>
      <x:c r="F2" s="4"/>
      <x:c r="G2" s="4"/>
      <x:c r="H2" s="4"/>
      <x:c r="I2" s="4"/>
      <x:c r="J2" s="4"/>
      <x:c r="K2" s="38"/>
      <x:c r="L2" s="38"/>
      <x:c r="M2" s="38"/>
      <x:c r="N2" s="38"/>
      <x:c r="O2" s="38"/>
      <x:c r="P2" s="38"/>
      <x:c r="Q2" s="38"/>
      <x:c r="R2" s="38"/>
      <x:c r="S2" s="38"/>
      <x:c r="T2" s="38"/>
      <x:c r="U2" s="38"/>
    </x:row>
    <x:row r="3" ht="23" customHeight="1">
      <x:c r="A3" s="38"/>
      <x:c r="B3" s="4"/>
      <x:c r="C3" s="4"/>
      <x:c r="D3" s="4"/>
      <x:c r="E3" s="4"/>
      <x:c r="F3" s="4"/>
      <x:c r="G3" s="4"/>
      <x:c r="H3" s="4"/>
      <x:c r="I3" s="4"/>
      <x:c r="J3" s="4"/>
      <x:c r="K3" s="38"/>
      <x:c r="L3" s="38"/>
      <x:c r="M3" s="38"/>
      <x:c r="N3" s="38"/>
      <x:c r="O3" s="38"/>
      <x:c r="P3" s="38"/>
      <x:c r="Q3" s="38"/>
      <x:c r="R3" s="38"/>
      <x:c r="S3" s="38"/>
      <x:c r="T3" s="38"/>
      <x:c r="U3" s="38"/>
    </x:row>
    <x:row r="4" ht="23" customHeight="1">
      <x:c r="A4" s="38"/>
      <x:c r="B4" s="39" t="str">
        <x:v>Florien Siakoua Toukam • independent practice extension to PGIM Forage • quarter ended December 31, 2021</x:v>
      </x:c>
      <x:c r="C4" s="39"/>
      <x:c r="D4" s="39"/>
      <x:c r="E4" s="39"/>
      <x:c r="F4" s="39"/>
      <x:c r="G4" s="39"/>
      <x:c r="H4" s="39"/>
      <x:c r="I4" s="39"/>
      <x:c r="J4" s="39"/>
      <x:c r="K4" s="38"/>
      <x:c r="L4" s="38"/>
      <x:c r="M4" s="38"/>
      <x:c r="N4" s="38"/>
      <x:c r="O4" s="38"/>
      <x:c r="P4" s="38"/>
      <x:c r="Q4" s="38"/>
      <x:c r="R4" s="38"/>
      <x:c r="S4" s="38"/>
      <x:c r="T4" s="38"/>
      <x:c r="U4" s="38"/>
    </x:row>
    <x:row r="5" ht="23" customHeight="1">
      <x:c r="A5" s="38"/>
      <x:c r="B5" s="39"/>
      <x:c r="C5" s="39"/>
      <x:c r="D5" s="39"/>
      <x:c r="E5" s="39"/>
      <x:c r="F5" s="39"/>
      <x:c r="G5" s="39"/>
      <x:c r="H5" s="39"/>
      <x:c r="I5" s="39"/>
      <x:c r="J5" s="39"/>
      <x:c r="K5" s="38"/>
      <x:c r="L5" s="38"/>
      <x:c r="M5" s="38"/>
      <x:c r="N5" s="38"/>
      <x:c r="O5" s="38"/>
      <x:c r="P5" s="38"/>
      <x:c r="Q5" s="38"/>
      <x:c r="R5" s="38"/>
      <x:c r="S5" s="38"/>
      <x:c r="T5" s="38"/>
      <x:c r="U5" s="38"/>
    </x:row>
    <x:row r="6" ht="23" customHeight="1">
      <x:c r="A6" s="38"/>
      <x:c r="B6" s="38"/>
      <x:c r="C6" s="38"/>
      <x:c r="D6" s="38"/>
      <x:c r="E6" s="38"/>
      <x:c r="F6" s="38"/>
      <x:c r="G6" s="38"/>
      <x:c r="H6" s="38"/>
      <x:c r="I6" s="38"/>
      <x:c r="J6" s="38"/>
      <x:c r="K6" s="38"/>
      <x:c r="L6" s="38"/>
      <x:c r="M6" s="38"/>
      <x:c r="N6" s="38"/>
      <x:c r="O6" s="38"/>
      <x:c r="P6" s="38"/>
      <x:c r="Q6" s="38"/>
      <x:c r="R6" s="38"/>
      <x:c r="S6" s="38"/>
      <x:c r="T6" s="38"/>
      <x:c r="U6" s="38"/>
    </x:row>
    <x:row r="7" ht="40" customHeight="1">
      <x:c r="A7" s="38"/>
      <x:c r="B7" s="40" t="str">
        <x:v>SIMULATED ACCOUNT • The PGIM sector return series is provided data. Account size, holdings, trades, fees, errors and valuations are constructed practice assumptions.</x:v>
      </x:c>
      <x:c r="C7" s="40"/>
      <x:c r="D7" s="40"/>
      <x:c r="E7" s="40"/>
      <x:c r="F7" s="40"/>
      <x:c r="G7" s="40"/>
      <x:c r="H7" s="40"/>
      <x:c r="I7" s="40"/>
      <x:c r="J7" s="40"/>
      <x:c r="K7" s="38"/>
      <x:c r="L7" s="38"/>
      <x:c r="M7" s="38"/>
      <x:c r="N7" s="38"/>
      <x:c r="O7" s="38"/>
      <x:c r="P7" s="38"/>
      <x:c r="Q7" s="38"/>
      <x:c r="R7" s="38"/>
      <x:c r="S7" s="38"/>
      <x:c r="T7" s="38"/>
      <x:c r="U7" s="38"/>
    </x:row>
    <x:row r="8" ht="23" customHeight="1">
      <x:c r="A8" s="38"/>
      <x:c r="B8" s="38"/>
      <x:c r="C8" s="38"/>
      <x:c r="D8" s="38"/>
      <x:c r="E8" s="38"/>
      <x:c r="F8" s="38"/>
      <x:c r="G8" s="38"/>
      <x:c r="H8" s="38"/>
      <x:c r="I8" s="38"/>
      <x:c r="J8" s="38"/>
      <x:c r="K8" s="38"/>
      <x:c r="L8" s="38"/>
      <x:c r="M8" s="38"/>
      <x:c r="N8" s="38"/>
      <x:c r="O8" s="38"/>
      <x:c r="P8" s="38"/>
      <x:c r="Q8" s="38"/>
      <x:c r="R8" s="38"/>
      <x:c r="S8" s="38"/>
      <x:c r="T8" s="38"/>
      <x:c r="U8" s="38"/>
    </x:row>
    <x:row r="9" ht="34" customHeight="1">
      <x:c r="A9" s="38"/>
      <x:c r="B9" s="41" t="str">
        <x:v>Quarterly measure</x:v>
      </x:c>
      <x:c r="C9" s="41" t="str">
        <x:v>Result</x:v>
      </x:c>
      <x:c r="D9" s="41" t="str">
        <x:v>Interpretation</x:v>
      </x:c>
      <x:c r="E9" s="42"/>
      <x:c r="F9" s="42"/>
      <x:c r="G9" s="42"/>
      <x:c r="H9" s="42"/>
      <x:c r="I9" s="42"/>
      <x:c r="J9" s="42"/>
      <x:c r="K9" s="38"/>
      <x:c r="L9" s="38"/>
      <x:c r="M9" s="38"/>
      <x:c r="N9" s="38"/>
      <x:c r="O9" s="38"/>
      <x:c r="P9" s="38"/>
      <x:c r="Q9" s="38"/>
      <x:c r="R9" s="38"/>
      <x:c r="S9" s="38"/>
      <x:c r="T9" s="38"/>
      <x:c r="U9" s="38"/>
    </x:row>
    <x:row r="10" ht="30" customHeight="1">
      <x:c r="A10" s="38"/>
      <x:c r="B10" s="38" t="str">
        <x:v>Opening account value</x:v>
      </x:c>
      <x:c r="C10" s="43" t="n">
        <x:f>'Performance'!E10</x:f>
        <x:v>1000000</x:v>
      </x:c>
      <x:c r="D10" s="38" t="str">
        <x:v>September 30, 2021</x:v>
      </x:c>
      <x:c r="E10" s="38"/>
      <x:c r="F10" s="38"/>
      <x:c r="G10" s="38"/>
      <x:c r="H10" s="38"/>
      <x:c r="I10" s="38"/>
      <x:c r="J10" s="38"/>
      <x:c r="K10" s="38"/>
      <x:c r="L10" s="38"/>
      <x:c r="M10" s="38"/>
      <x:c r="N10" s="38"/>
      <x:c r="O10" s="38"/>
      <x:c r="P10" s="38"/>
      <x:c r="Q10" s="38"/>
      <x:c r="R10" s="38"/>
      <x:c r="S10" s="38"/>
      <x:c r="T10" s="38"/>
      <x:c r="U10" s="38"/>
    </x:row>
    <x:row r="11" ht="30" customHeight="1">
      <x:c r="A11" s="38"/>
      <x:c r="B11" s="38" t="str">
        <x:v>Closing account value</x:v>
      </x:c>
      <x:c r="C11" s="43" t="n">
        <x:f>'Performance'!E16</x:f>
        <x:v>1059338.9612378185</x:v>
      </x:c>
      <x:c r="D11" s="38" t="str">
        <x:v>Reconciled to simulated statement</x:v>
      </x:c>
      <x:c r="E11" s="38"/>
      <x:c r="F11" s="38"/>
      <x:c r="G11" s="38"/>
      <x:c r="H11" s="38"/>
      <x:c r="I11" s="38"/>
      <x:c r="J11" s="38"/>
      <x:c r="K11" s="38"/>
      <x:c r="L11" s="38"/>
      <x:c r="M11" s="38"/>
      <x:c r="N11" s="38"/>
      <x:c r="O11" s="38"/>
      <x:c r="P11" s="38"/>
      <x:c r="Q11" s="38"/>
      <x:c r="R11" s="38"/>
      <x:c r="S11" s="38"/>
      <x:c r="T11" s="38"/>
      <x:c r="U11" s="38"/>
    </x:row>
    <x:row r="12" ht="30" customHeight="1">
      <x:c r="A12" s="38"/>
      <x:c r="B12" s="38" t="str">
        <x:v>Net contributions</x:v>
      </x:c>
      <x:c r="C12" s="43" t="n">
        <x:f>SUM('Performance'!H11:H16)</x:f>
        <x:v>50000</x:v>
      </x:c>
      <x:c r="D12" s="38" t="str">
        <x:v>$100,000 in; $50,000 out</x:v>
      </x:c>
      <x:c r="E12" s="38"/>
      <x:c r="F12" s="38"/>
      <x:c r="G12" s="38"/>
      <x:c r="H12" s="38"/>
      <x:c r="I12" s="38"/>
      <x:c r="J12" s="38"/>
      <x:c r="K12" s="38"/>
      <x:c r="L12" s="38"/>
      <x:c r="M12" s="38"/>
      <x:c r="N12" s="38"/>
      <x:c r="O12" s="38"/>
      <x:c r="P12" s="38"/>
      <x:c r="Q12" s="38"/>
      <x:c r="R12" s="38"/>
      <x:c r="S12" s="38"/>
      <x:c r="T12" s="38"/>
      <x:c r="U12" s="38"/>
    </x:row>
    <x:row r="13" ht="30" customHeight="1">
      <x:c r="A13" s="38"/>
      <x:c r="B13" s="38" t="str">
        <x:v>Net investment gain</x:v>
      </x:c>
      <x:c r="C13" s="43" t="n">
        <x:f>'Performance'!C27</x:f>
        <x:v>9338.961237818468</x:v>
      </x:c>
      <x:c r="D13" s="38" t="str">
        <x:v>After $750 in management fees</x:v>
      </x:c>
      <x:c r="E13" s="38"/>
      <x:c r="F13" s="38"/>
      <x:c r="G13" s="38"/>
      <x:c r="H13" s="38"/>
      <x:c r="I13" s="38"/>
      <x:c r="J13" s="38"/>
      <x:c r="K13" s="38"/>
      <x:c r="L13" s="38"/>
      <x:c r="M13" s="38"/>
      <x:c r="N13" s="38"/>
      <x:c r="O13" s="38"/>
      <x:c r="P13" s="38"/>
      <x:c r="Q13" s="38"/>
      <x:c r="R13" s="38"/>
      <x:c r="S13" s="38"/>
      <x:c r="T13" s="38"/>
      <x:c r="U13" s="38"/>
    </x:row>
    <x:row r="14" ht="30" customHeight="1">
      <x:c r="A14" s="38"/>
      <x:c r="B14" s="38" t="str">
        <x:v>Net time-weighted return</x:v>
      </x:c>
      <x:c r="C14" s="44" t="n">
        <x:f>'Performance'!C21</x:f>
        <x:v>0.00915302215694802</x:v>
      </x:c>
      <x:c r="D14" s="38" t="str">
        <x:v>External flows removed</x:v>
      </x:c>
      <x:c r="E14" s="38"/>
      <x:c r="F14" s="38"/>
      <x:c r="G14" s="38"/>
      <x:c r="H14" s="38"/>
      <x:c r="I14" s="38"/>
      <x:c r="J14" s="38"/>
      <x:c r="K14" s="38"/>
      <x:c r="L14" s="38"/>
      <x:c r="M14" s="38"/>
      <x:c r="N14" s="38"/>
      <x:c r="O14" s="38"/>
      <x:c r="P14" s="38"/>
      <x:c r="Q14" s="38"/>
      <x:c r="R14" s="38"/>
      <x:c r="S14" s="38"/>
      <x:c r="T14" s="38"/>
      <x:c r="U14" s="38"/>
    </x:row>
    <x:row r="15" ht="30" customHeight="1">
      <x:c r="A15" s="38"/>
      <x:c r="B15" s="38" t="str">
        <x:v>Gross time-weighted return</x:v>
      </x:c>
      <x:c r="C15" s="44" t="n">
        <x:f>'Performance'!C22</x:f>
        <x:v>0.009869729316493103</x:v>
      </x:c>
      <x:c r="D15" s="38" t="str">
        <x:v>Fees added back before linking</x:v>
      </x:c>
      <x:c r="E15" s="38"/>
      <x:c r="F15" s="38"/>
      <x:c r="G15" s="38"/>
      <x:c r="H15" s="38"/>
      <x:c r="I15" s="38"/>
      <x:c r="J15" s="38"/>
      <x:c r="K15" s="38"/>
      <x:c r="L15" s="38"/>
      <x:c r="M15" s="38"/>
      <x:c r="N15" s="38"/>
      <x:c r="O15" s="38"/>
      <x:c r="P15" s="38"/>
      <x:c r="Q15" s="38"/>
      <x:c r="R15" s="38"/>
      <x:c r="S15" s="38"/>
      <x:c r="T15" s="38"/>
      <x:c r="U15" s="38"/>
    </x:row>
    <x:row r="16" ht="30" customHeight="1">
      <x:c r="A16" s="38"/>
      <x:c r="B16" s="38" t="str">
        <x:v>Assumed quarterly hurdle</x:v>
      </x:c>
      <x:c r="C16" s="44" t="n">
        <x:f>'Performance'!C25</x:f>
        <x:v>0.003759796531345394</x:v>
      </x:c>
      <x:c r="D16" s="38" t="str">
        <x:v>1.50% annual reference, prorated geometrically</x:v>
      </x:c>
      <x:c r="E16" s="38"/>
      <x:c r="F16" s="38"/>
      <x:c r="G16" s="38"/>
      <x:c r="H16" s="38"/>
      <x:c r="I16" s="38"/>
      <x:c r="J16" s="38"/>
      <x:c r="K16" s="38"/>
      <x:c r="L16" s="38"/>
      <x:c r="M16" s="38"/>
      <x:c r="N16" s="38"/>
      <x:c r="O16" s="38"/>
      <x:c r="P16" s="38"/>
      <x:c r="Q16" s="38"/>
      <x:c r="R16" s="38"/>
      <x:c r="S16" s="38"/>
      <x:c r="T16" s="38"/>
      <x:c r="U16" s="38"/>
    </x:row>
    <x:row r="17" ht="30" customHeight="1">
      <x:c r="A17" s="38"/>
      <x:c r="B17" s="38" t="str">
        <x:v>Excess over hurdle (bps)</x:v>
      </x:c>
      <x:c r="C17" s="43" t="n">
        <x:f>'Performance'!C26*10000</x:f>
        <x:v>53.932256256026264</x:v>
      </x:c>
      <x:c r="D17" s="38" t="str">
        <x:v>Illustrative comparison; not market-index alpha</x:v>
      </x:c>
      <x:c r="E17" s="38"/>
      <x:c r="F17" s="38"/>
      <x:c r="G17" s="38"/>
      <x:c r="H17" s="38"/>
      <x:c r="I17" s="38"/>
      <x:c r="J17" s="38"/>
      <x:c r="K17" s="38"/>
      <x:c r="L17" s="38"/>
      <x:c r="M17" s="38"/>
      <x:c r="N17" s="38"/>
      <x:c r="O17" s="38"/>
      <x:c r="P17" s="38"/>
      <x:c r="Q17" s="38"/>
      <x:c r="R17" s="38"/>
      <x:c r="S17" s="38"/>
      <x:c r="T17" s="38"/>
      <x:c r="U17" s="38"/>
    </x:row>
    <x:row r="18" ht="30" customHeight="1">
      <x:c r="A18" s="38"/>
      <x:c r="B18" s="38" t="str">
        <x:v>Closing reconciliation residual</x:v>
      </x:c>
      <x:c r="C18" s="43" t="n">
        <x:f>'Reconciliation'!F25</x:f>
        <x:v>0</x:v>
      </x:c>
      <x:c r="D18" s="38" t="str">
        <x:v>Corrected book minus statement</x:v>
      </x:c>
      <x:c r="E18" s="38"/>
      <x:c r="F18" s="38"/>
      <x:c r="G18" s="38"/>
      <x:c r="H18" s="38"/>
      <x:c r="I18" s="38"/>
      <x:c r="J18" s="38"/>
      <x:c r="K18" s="38"/>
      <x:c r="L18" s="38"/>
      <x:c r="M18" s="38"/>
      <x:c r="N18" s="38"/>
      <x:c r="O18" s="38"/>
      <x:c r="P18" s="38"/>
      <x:c r="Q18" s="38"/>
      <x:c r="R18" s="38"/>
      <x:c r="S18" s="38"/>
      <x:c r="T18" s="38"/>
      <x:c r="U18" s="38"/>
    </x:row>
    <x:row r="19" ht="23" customHeight="1">
      <x:c r="A19" s="38"/>
      <x:c r="B19" s="38"/>
      <x:c r="C19" s="38"/>
      <x:c r="D19" s="38"/>
      <x:c r="E19" s="38"/>
      <x:c r="F19" s="38"/>
      <x:c r="G19" s="38"/>
      <x:c r="H19" s="38"/>
      <x:c r="I19" s="38"/>
      <x:c r="J19" s="38"/>
      <x:c r="K19" s="38"/>
      <x:c r="L19" s="38"/>
      <x:c r="M19" s="38"/>
      <x:c r="N19" s="38"/>
      <x:c r="O19" s="38"/>
      <x:c r="P19" s="38"/>
      <x:c r="Q19" s="38"/>
      <x:c r="R19" s="38"/>
      <x:c r="S19" s="38"/>
      <x:c r="T19" s="38"/>
      <x:c r="U19" s="38"/>
    </x:row>
    <x:row r="20" ht="23" customHeight="1">
      <x:c r="A20" s="38"/>
      <x:c r="B20" s="38"/>
      <x:c r="C20" s="38"/>
      <x:c r="D20" s="38"/>
      <x:c r="E20" s="38"/>
      <x:c r="F20" s="38"/>
      <x:c r="G20" s="38"/>
      <x:c r="H20" s="38"/>
      <x:c r="I20" s="38"/>
      <x:c r="J20" s="38"/>
      <x:c r="K20" s="38"/>
      <x:c r="L20" s="38"/>
      <x:c r="M20" s="38"/>
      <x:c r="N20" s="38"/>
      <x:c r="O20" s="38"/>
      <x:c r="P20" s="38"/>
      <x:c r="Q20" s="38"/>
      <x:c r="R20" s="38"/>
      <x:c r="S20" s="38"/>
      <x:c r="T20" s="38"/>
      <x:c r="U20" s="38"/>
    </x:row>
    <x:row r="21" ht="34" customHeight="1">
      <x:c r="A21" s="38"/>
      <x:c r="B21" s="41" t="str">
        <x:v>Return review</x:v>
      </x:c>
      <x:c r="C21" s="41" t="str">
        <x:v>Net return</x:v>
      </x:c>
      <x:c r="D21" s="41" t="str">
        <x:v>What changed</x:v>
      </x:c>
      <x:c r="E21" s="42"/>
      <x:c r="F21" s="42"/>
      <x:c r="G21" s="42"/>
      <x:c r="H21" s="42"/>
      <x:c r="I21" s="42"/>
      <x:c r="J21" s="42"/>
      <x:c r="K21" s="38"/>
      <x:c r="L21" s="38"/>
      <x:c r="M21" s="38"/>
      <x:c r="N21" s="38"/>
      <x:c r="O21" s="38"/>
      <x:c r="P21" s="38"/>
      <x:c r="Q21" s="38"/>
      <x:c r="R21" s="38"/>
      <x:c r="S21" s="38"/>
      <x:c r="T21" s="38"/>
      <x:c r="U21" s="38"/>
    </x:row>
    <x:row r="22" ht="32" customHeight="1">
      <x:c r="A22" s="38"/>
      <x:c r="B22" s="38" t="str">
        <x:v>Unreconciled</x:v>
      </x:c>
      <x:c r="C22" s="44" t="n">
        <x:f>'Performance'!C23</x:f>
        <x:v>0.11634343742961573</x:v>
      </x:c>
      <x:c r="D22" s="38" t="str">
        <x:v>Contribution was counted as investment income</x:v>
      </x:c>
      <x:c r="E22" s="38"/>
      <x:c r="F22" s="38"/>
      <x:c r="G22" s="38"/>
      <x:c r="H22" s="38"/>
      <x:c r="I22" s="38"/>
      <x:c r="J22" s="38"/>
      <x:c r="K22" s="38"/>
      <x:c r="L22" s="38"/>
      <x:c r="M22" s="38"/>
      <x:c r="N22" s="38"/>
      <x:c r="O22" s="38"/>
      <x:c r="P22" s="38"/>
      <x:c r="Q22" s="38"/>
      <x:c r="R22" s="38"/>
      <x:c r="S22" s="38"/>
      <x:c r="T22" s="38"/>
      <x:c r="U22" s="38"/>
    </x:row>
    <x:row r="23" ht="32" customHeight="1">
      <x:c r="A23" s="38"/>
      <x:c r="B23" s="38" t="str">
        <x:v>Flow classification corrected</x:v>
      </x:c>
      <x:c r="C23" s="44" t="n">
        <x:f>'Performance'!C24</x:f>
        <x:v>0.015547013252342534</x:v>
      </x:c>
      <x:c r="D23" s="38" t="str">
        <x:v>Remaining trade, price and fee errors still affect NAV</x:v>
      </x:c>
      <x:c r="E23" s="38"/>
      <x:c r="F23" s="38"/>
      <x:c r="G23" s="38"/>
      <x:c r="H23" s="38"/>
      <x:c r="I23" s="38"/>
      <x:c r="J23" s="38"/>
      <x:c r="K23" s="38"/>
      <x:c r="L23" s="38"/>
      <x:c r="M23" s="38"/>
      <x:c r="N23" s="38"/>
      <x:c r="O23" s="38"/>
      <x:c r="P23" s="38"/>
      <x:c r="Q23" s="38"/>
      <x:c r="R23" s="38"/>
      <x:c r="S23" s="38"/>
      <x:c r="T23" s="38"/>
      <x:c r="U23" s="38"/>
    </x:row>
    <x:row r="24" ht="32" customHeight="1">
      <x:c r="A24" s="38"/>
      <x:c r="B24" s="38" t="str">
        <x:v>All four exceptions corrected</x:v>
      </x:c>
      <x:c r="C24" s="44" t="n">
        <x:f>'Performance'!C21</x:f>
        <x:v>0.00915302215694802</x:v>
      </x:c>
      <x:c r="D24" s="38" t="str">
        <x:v>Holdings, cash and valuations reconcile</x:v>
      </x:c>
      <x:c r="E24" s="38"/>
      <x:c r="F24" s="38"/>
      <x:c r="G24" s="38"/>
      <x:c r="H24" s="38"/>
      <x:c r="I24" s="38"/>
      <x:c r="J24" s="38"/>
      <x:c r="K24" s="38"/>
      <x:c r="L24" s="38"/>
      <x:c r="M24" s="38"/>
      <x:c r="N24" s="38"/>
      <x:c r="O24" s="38"/>
      <x:c r="P24" s="38"/>
      <x:c r="Q24" s="38"/>
      <x:c r="R24" s="38"/>
      <x:c r="S24" s="38"/>
      <x:c r="T24" s="38"/>
      <x:c r="U24" s="38"/>
    </x:row>
    <x:row r="25" ht="23" customHeight="1">
      <x:c r="A25" s="38"/>
      <x:c r="B25" s="38"/>
      <x:c r="C25" s="38"/>
      <x:c r="D25" s="38"/>
      <x:c r="E25" s="38"/>
      <x:c r="F25" s="38"/>
      <x:c r="G25" s="38"/>
      <x:c r="H25" s="38"/>
      <x:c r="I25" s="38"/>
      <x:c r="J25" s="38"/>
      <x:c r="K25" s="38"/>
      <x:c r="L25" s="38"/>
      <x:c r="M25" s="38"/>
      <x:c r="N25" s="38"/>
      <x:c r="O25" s="38"/>
      <x:c r="P25" s="38"/>
      <x:c r="Q25" s="38"/>
      <x:c r="R25" s="38"/>
      <x:c r="S25" s="38"/>
      <x:c r="T25" s="38"/>
      <x:c r="U25" s="38"/>
    </x:row>
    <x:row r="26" ht="23" customHeight="1">
      <x:c r="A26" s="38"/>
      <x:c r="B26" s="38"/>
      <x:c r="C26" s="38"/>
      <x:c r="D26" s="38"/>
      <x:c r="E26" s="38"/>
      <x:c r="F26" s="38"/>
      <x:c r="G26" s="38"/>
      <x:c r="H26" s="38"/>
      <x:c r="I26" s="38"/>
      <x:c r="J26" s="38"/>
      <x:c r="K26" s="38"/>
      <x:c r="L26" s="38"/>
      <x:c r="M26" s="38"/>
      <x:c r="N26" s="38"/>
      <x:c r="O26" s="38"/>
      <x:c r="P26" s="38"/>
      <x:c r="Q26" s="38"/>
      <x:c r="R26" s="38"/>
      <x:c r="S26" s="38"/>
      <x:c r="T26" s="38"/>
      <x:c r="U26" s="38"/>
    </x:row>
    <x:row r="27" ht="54" customHeight="1">
      <x:c r="A27" s="38"/>
      <x:c r="B27" s="40" t="str">
        <x:v>Finding: cash-flow classification created most of the apparent performance overstatement. Correcting the flow alone was insufficient: the missing trade, omitted fee and stale price also had to be reconciled.</x:v>
      </x:c>
      <x:c r="C27" s="40"/>
      <x:c r="D27" s="40"/>
      <x:c r="E27" s="40"/>
      <x:c r="F27" s="40"/>
      <x:c r="G27" s="40"/>
      <x:c r="H27" s="40"/>
      <x:c r="I27" s="40"/>
      <x:c r="J27" s="40"/>
      <x:c r="K27" s="38"/>
      <x:c r="L27" s="38"/>
      <x:c r="M27" s="38"/>
      <x:c r="N27" s="38"/>
      <x:c r="O27" s="38"/>
      <x:c r="P27" s="38"/>
      <x:c r="Q27" s="38"/>
      <x:c r="R27" s="38"/>
      <x:c r="S27" s="38"/>
      <x:c r="T27" s="38"/>
      <x:c r="U27" s="38"/>
    </x:row>
    <x:row r="28" ht="23" customHeight="1">
      <x:c r="A28" s="38"/>
      <x:c r="B28" s="38"/>
      <x:c r="C28" s="38"/>
      <x:c r="D28" s="38"/>
      <x:c r="E28" s="38"/>
      <x:c r="F28" s="38"/>
      <x:c r="G28" s="38"/>
      <x:c r="H28" s="38"/>
      <x:c r="I28" s="38"/>
      <x:c r="J28" s="38"/>
      <x:c r="K28" s="38"/>
      <x:c r="L28" s="38"/>
      <x:c r="M28" s="38"/>
      <x:c r="N28" s="38"/>
      <x:c r="O28" s="38"/>
      <x:c r="P28" s="38"/>
      <x:c r="Q28" s="38"/>
      <x:c r="R28" s="38"/>
      <x:c r="S28" s="38"/>
      <x:c r="T28" s="38"/>
      <x:c r="U28" s="38"/>
    </x:row>
    <x:row r="29" ht="23" customHeight="1">
      <x:c r="A29" s="38"/>
      <x:c r="B29" s="38"/>
      <x:c r="C29" s="38"/>
      <x:c r="D29" s="38"/>
      <x:c r="E29" s="38"/>
      <x:c r="F29" s="38"/>
      <x:c r="G29" s="38"/>
      <x:c r="H29" s="38"/>
      <x:c r="I29" s="38"/>
      <x:c r="J29" s="38"/>
      <x:c r="K29" s="38"/>
      <x:c r="L29" s="38"/>
      <x:c r="M29" s="38"/>
      <x:c r="N29" s="38"/>
      <x:c r="O29" s="38"/>
      <x:c r="P29" s="38"/>
      <x:c r="Q29" s="38"/>
      <x:c r="R29" s="38"/>
      <x:c r="S29" s="38"/>
      <x:c r="T29" s="38"/>
      <x:c r="U29" s="38"/>
    </x:row>
    <x:row r="30" ht="60" customHeight="1">
      <x:c r="A30" s="38"/>
      <x:c r="B30" s="40" t="str">
        <x:v>Allocation review: moving 20% from Oil &amp; Gas to Renewables modestly reduced historical annualized volatility, but lowered the monthly-rebalanced annual return and raised renewable concentration to 30%. Twelve observations do not establish future superiority.</x:v>
      </x:c>
      <x:c r="C30" s="40"/>
      <x:c r="D30" s="40"/>
      <x:c r="E30" s="40"/>
      <x:c r="F30" s="40"/>
      <x:c r="G30" s="40"/>
      <x:c r="H30" s="40"/>
      <x:c r="I30" s="40"/>
      <x:c r="J30" s="40"/>
      <x:c r="K30" s="38"/>
      <x:c r="L30" s="38"/>
      <x:c r="M30" s="38"/>
      <x:c r="N30" s="38"/>
      <x:c r="O30" s="38"/>
      <x:c r="P30" s="38"/>
      <x:c r="Q30" s="38"/>
      <x:c r="R30" s="38"/>
      <x:c r="S30" s="38"/>
      <x:c r="T30" s="38"/>
      <x:c r="U30" s="38"/>
    </x:row>
    <x:row r="31" ht="23" customHeight="1">
      <x:c r="A31" s="38"/>
      <x:c r="B31" s="38"/>
      <x:c r="C31" s="38"/>
      <x:c r="D31" s="38"/>
      <x:c r="E31" s="38"/>
      <x:c r="F31" s="38"/>
      <x:c r="G31" s="38"/>
      <x:c r="H31" s="38"/>
      <x:c r="I31" s="38"/>
      <x:c r="J31" s="38"/>
      <x:c r="K31" s="38"/>
      <x:c r="L31" s="38"/>
      <x:c r="M31" s="38"/>
      <x:c r="N31" s="38"/>
      <x:c r="O31" s="38"/>
      <x:c r="P31" s="38"/>
      <x:c r="Q31" s="38"/>
      <x:c r="R31" s="38"/>
      <x:c r="S31" s="38"/>
      <x:c r="T31" s="38"/>
      <x:c r="U31" s="38"/>
    </x:row>
    <x:row r="32" ht="23" customHeight="1">
      <x:c r="A32" s="38"/>
      <x:c r="B32" s="38"/>
      <x:c r="C32" s="38"/>
      <x:c r="D32" s="38"/>
      <x:c r="E32" s="38"/>
      <x:c r="F32" s="38"/>
      <x:c r="G32" s="38"/>
      <x:c r="H32" s="38"/>
      <x:c r="I32" s="38"/>
      <x:c r="J32" s="38"/>
      <x:c r="K32" s="38"/>
      <x:c r="L32" s="38"/>
      <x:c r="M32" s="38"/>
      <x:c r="N32" s="38"/>
      <x:c r="O32" s="38"/>
      <x:c r="P32" s="38"/>
      <x:c r="Q32" s="38"/>
      <x:c r="R32" s="38"/>
      <x:c r="S32" s="38"/>
      <x:c r="T32" s="38"/>
      <x:c r="U32" s="38"/>
    </x:row>
    <x:row r="33" ht="50" customHeight="1">
      <x:c r="A33" s="38"/>
      <x:c r="B33" s="40" t="str">
        <x:v>Review order: verify cash and holdings → resolve valuation exceptions → classify external flows → calculate returns → compare the report with independent statement returns → document client discussion points.</x:v>
      </x:c>
      <x:c r="C33" s="40"/>
      <x:c r="D33" s="40"/>
      <x:c r="E33" s="40"/>
      <x:c r="F33" s="40"/>
      <x:c r="G33" s="40"/>
      <x:c r="H33" s="40"/>
      <x:c r="I33" s="40"/>
      <x:c r="J33" s="40"/>
      <x:c r="K33" s="38"/>
      <x:c r="L33" s="38"/>
      <x:c r="M33" s="38"/>
      <x:c r="N33" s="38"/>
      <x:c r="O33" s="38"/>
      <x:c r="P33" s="38"/>
      <x:c r="Q33" s="38"/>
      <x:c r="R33" s="38"/>
      <x:c r="S33" s="38"/>
      <x:c r="T33" s="38"/>
      <x:c r="U33" s="38"/>
    </x:row>
    <x:row r="34" ht="23" customHeight="1">
      <x:c r="A34" s="38"/>
      <x:c r="B34" s="38"/>
      <x:c r="C34" s="38"/>
      <x:c r="D34" s="38"/>
      <x:c r="E34" s="38"/>
      <x:c r="F34" s="38"/>
      <x:c r="G34" s="38"/>
      <x:c r="H34" s="38"/>
      <x:c r="I34" s="38"/>
      <x:c r="J34" s="38"/>
      <x:c r="K34" s="38"/>
      <x:c r="L34" s="38"/>
      <x:c r="M34" s="38"/>
      <x:c r="N34" s="38"/>
      <x:c r="O34" s="38"/>
      <x:c r="P34" s="38"/>
      <x:c r="Q34" s="38"/>
      <x:c r="R34" s="38"/>
      <x:c r="S34" s="38"/>
      <x:c r="T34" s="38"/>
      <x:c r="U34" s="38"/>
    </x:row>
    <x:row r="35" ht="23" customHeight="1">
      <x:c r="A35" s="38"/>
      <x:c r="B35" s="38"/>
      <x:c r="C35" s="38"/>
      <x:c r="D35" s="38"/>
      <x:c r="E35" s="38"/>
      <x:c r="F35" s="38"/>
      <x:c r="G35" s="38"/>
      <x:c r="H35" s="38"/>
      <x:c r="I35" s="38"/>
      <x:c r="J35" s="38"/>
      <x:c r="K35" s="38"/>
      <x:c r="L35" s="38"/>
      <x:c r="M35" s="38"/>
      <x:c r="N35" s="38"/>
      <x:c r="O35" s="38"/>
      <x:c r="P35" s="38"/>
      <x:c r="Q35" s="38"/>
      <x:c r="R35" s="38"/>
      <x:c r="S35" s="38"/>
      <x:c r="T35" s="38"/>
      <x:c r="U35" s="38"/>
    </x:row>
    <x:row r="36" ht="34" customHeight="1">
      <x:c r="A36" s="38"/>
      <x:c r="B36" s="67" t="str">
        <x:v>Money-weighted return comparison</x:v>
      </x:c>
      <x:c r="C36" s="67"/>
      <x:c r="D36" s="67"/>
      <x:c r="E36" s="67"/>
      <x:c r="F36" s="67"/>
      <x:c r="G36" s="67"/>
      <x:c r="H36" s="67"/>
      <x:c r="I36" s="67"/>
      <x:c r="J36" s="67"/>
      <x:c r="K36" s="38"/>
      <x:c r="L36" s="38"/>
      <x:c r="M36" s="38"/>
      <x:c r="N36" s="38"/>
      <x:c r="O36" s="38"/>
      <x:c r="P36" s="38"/>
      <x:c r="Q36" s="38"/>
      <x:c r="R36" s="38"/>
      <x:c r="S36" s="38"/>
      <x:c r="T36" s="38"/>
      <x:c r="U36" s="38"/>
    </x:row>
    <x:row r="37" ht="42" customHeight="1">
      <x:c r="A37" s="38"/>
      <x:c r="B37" s="71" t="str">
        <x:v>Quarterly net money-weighted return</x:v>
      </x:c>
      <x:c r="C37" s="72" t="n">
        <x:f>'Performance'!C50</x:f>
        <x:v>0.008969207691264192</x:v>
      </x:c>
      <x:c r="D37" s="71" t="str">
        <x:v>Based on actual contribution and withdrawal dates</x:v>
      </x:c>
      <x:c r="E37" s="71"/>
      <x:c r="F37" s="71"/>
      <x:c r="G37" s="71"/>
      <x:c r="H37" s="71"/>
      <x:c r="I37" s="71"/>
      <x:c r="J37" s="71"/>
      <x:c r="K37" s="38"/>
      <x:c r="L37" s="38"/>
      <x:c r="M37" s="38"/>
      <x:c r="N37" s="38"/>
      <x:c r="O37" s="38"/>
      <x:c r="P37" s="38"/>
      <x:c r="Q37" s="38"/>
      <x:c r="R37" s="38"/>
      <x:c r="S37" s="38"/>
      <x:c r="T37" s="38"/>
      <x:c r="U37" s="38"/>
    </x:row>
    <x:row r="38" ht="42" customHeight="1">
      <x:c r="A38" s="38"/>
      <x:c r="B38" s="71" t="str">
        <x:v>Annualized net XIRR</x:v>
      </x:c>
      <x:c r="C38" s="72" t="n">
        <x:f>'Performance'!C48</x:f>
        <x:v>0.03606068947939789</x:v>
      </x:c>
      <x:c r="D38" s="71" t="str">
        <x:v>Annualized mathematical rate for the 92-day case</x:v>
      </x:c>
      <x:c r="E38" s="71"/>
      <x:c r="F38" s="71"/>
      <x:c r="G38" s="71"/>
      <x:c r="H38" s="71"/>
      <x:c r="I38" s="71"/>
      <x:c r="J38" s="71"/>
      <x:c r="K38" s="38"/>
      <x:c r="L38" s="38"/>
      <x:c r="M38" s="38"/>
      <x:c r="N38" s="38"/>
      <x:c r="O38" s="38"/>
      <x:c r="P38" s="38"/>
      <x:c r="Q38" s="38"/>
      <x:c r="R38" s="38"/>
      <x:c r="S38" s="38"/>
      <x:c r="T38" s="38"/>
      <x:c r="U38" s="38"/>
    </x:row>
    <x:row r="39" ht="42" customHeight="1">
      <x:c r="A39" s="38"/>
      <x:c r="B39" s="71" t="str">
        <x:v>MWR less TWR (basis points)</x:v>
      </x:c>
      <x:c r="C39" s="74" t="n">
        <x:f>'Performance'!C52</x:f>
        <x:v>-1.838144656838292</x:v>
      </x:c>
      <x:c r="D39" s="71" t="str">
        <x:v>Negative means MWR is below TWR for this quarter</x:v>
      </x:c>
      <x:c r="E39" s="71"/>
      <x:c r="F39" s="71"/>
      <x:c r="G39" s="71"/>
      <x:c r="H39" s="71"/>
      <x:c r="I39" s="71"/>
      <x:c r="J39" s="71"/>
      <x:c r="K39" s="38"/>
      <x:c r="L39" s="38"/>
      <x:c r="M39" s="38"/>
      <x:c r="N39" s="38"/>
      <x:c r="O39" s="38"/>
      <x:c r="P39" s="38"/>
      <x:c r="Q39" s="38"/>
      <x:c r="R39" s="38"/>
      <x:c r="S39" s="38"/>
      <x:c r="T39" s="38"/>
      <x:c r="U39" s="38"/>
    </x:row>
    <x:row r="40" ht="23" customHeight="1">
      <x:c r="A40" s="38"/>
      <x:c r="B40" s="38"/>
      <x:c r="C40" s="38"/>
      <x:c r="D40" s="38"/>
      <x:c r="E40" s="38"/>
      <x:c r="F40" s="38"/>
      <x:c r="G40" s="38"/>
      <x:c r="H40" s="38"/>
      <x:c r="I40" s="38"/>
      <x:c r="J40" s="38"/>
      <x:c r="K40" s="38"/>
      <x:c r="L40" s="38"/>
      <x:c r="M40" s="38"/>
      <x:c r="N40" s="38"/>
      <x:c r="O40" s="38"/>
      <x:c r="P40" s="38"/>
      <x:c r="Q40" s="38"/>
      <x:c r="R40" s="38"/>
      <x:c r="S40" s="38"/>
      <x:c r="T40" s="38"/>
      <x:c r="U40" s="38"/>
    </x:row>
    <x:row r="41" ht="56" customHeight="1">
      <x:c r="A41" s="38"/>
      <x:c r="B41" s="40" t="str">
        <x:v>Money-weighted return uses investor cash flows and ending NAV. Compare quarterly MWR with quarterly TWR; do not compare annualized XIRR directly with a quarterly return. See Performance for the schedule and checks.</x:v>
      </x:c>
      <x:c r="C41" s="40"/>
      <x:c r="D41" s="40"/>
      <x:c r="E41" s="40"/>
      <x:c r="F41" s="40"/>
      <x:c r="G41" s="40"/>
      <x:c r="H41" s="40"/>
      <x:c r="I41" s="40"/>
      <x:c r="J41" s="40"/>
      <x:c r="K41" s="38"/>
      <x:c r="L41" s="38"/>
      <x:c r="M41" s="38"/>
      <x:c r="N41" s="38"/>
      <x:c r="O41" s="38"/>
      <x:c r="P41" s="38"/>
      <x:c r="Q41" s="38"/>
      <x:c r="R41" s="38"/>
      <x:c r="S41" s="38"/>
      <x:c r="T41" s="38"/>
      <x:c r="U41" s="38"/>
    </x:row>
    <x:row r="42" ht="23" customHeight="1">
      <x:c r="A42" s="38"/>
      <x:c r="B42" s="38"/>
      <x:c r="C42" s="38"/>
      <x:c r="D42" s="38"/>
      <x:c r="E42" s="38"/>
      <x:c r="F42" s="38"/>
      <x:c r="G42" s="38"/>
      <x:c r="H42" s="38"/>
      <x:c r="I42" s="38"/>
      <x:c r="J42" s="38"/>
      <x:c r="K42" s="38"/>
      <x:c r="L42" s="38"/>
      <x:c r="M42" s="38"/>
      <x:c r="N42" s="38"/>
      <x:c r="O42" s="38"/>
      <x:c r="P42" s="38"/>
      <x:c r="Q42" s="38"/>
      <x:c r="R42" s="38"/>
      <x:c r="S42" s="38"/>
      <x:c r="T42" s="38"/>
      <x:c r="U42" s="38"/>
    </x:row>
    <x:row r="43" ht="23" customHeight="1">
      <x:c r="A43" s="38"/>
      <x:c r="B43" s="38"/>
      <x:c r="C43" s="38"/>
      <x:c r="D43" s="38"/>
      <x:c r="E43" s="38"/>
      <x:c r="F43" s="38"/>
      <x:c r="G43" s="38"/>
      <x:c r="H43" s="38"/>
      <x:c r="I43" s="38"/>
      <x:c r="J43" s="38"/>
      <x:c r="K43" s="38"/>
      <x:c r="L43" s="38"/>
      <x:c r="M43" s="38"/>
      <x:c r="N43" s="38"/>
      <x:c r="O43" s="38"/>
      <x:c r="P43" s="38"/>
      <x:c r="Q43" s="38"/>
      <x:c r="R43" s="38"/>
      <x:c r="S43" s="38"/>
      <x:c r="T43" s="38"/>
      <x:c r="U43" s="38"/>
    </x:row>
    <x:row r="44" ht="23" customHeight="1">
      <x:c r="A44" s="38"/>
      <x:c r="B44" s="38"/>
      <x:c r="C44" s="38"/>
      <x:c r="D44" s="38"/>
      <x:c r="E44" s="38"/>
      <x:c r="F44" s="38"/>
      <x:c r="G44" s="38"/>
      <x:c r="H44" s="38"/>
      <x:c r="I44" s="38"/>
      <x:c r="J44" s="38"/>
      <x:c r="K44" s="38"/>
      <x:c r="L44" s="38"/>
      <x:c r="M44" s="38"/>
      <x:c r="N44" s="38"/>
      <x:c r="O44" s="38"/>
      <x:c r="P44" s="38"/>
      <x:c r="Q44" s="38"/>
      <x:c r="R44" s="38"/>
      <x:c r="S44" s="38"/>
      <x:c r="T44" s="38"/>
      <x:c r="U44" s="38"/>
    </x:row>
    <x:row r="45" ht="23" customHeight="1">
      <x:c r="A45" s="38"/>
      <x:c r="B45" s="38"/>
      <x:c r="C45" s="38"/>
      <x:c r="D45" s="38"/>
      <x:c r="E45" s="38"/>
      <x:c r="F45" s="38"/>
      <x:c r="G45" s="38"/>
      <x:c r="H45" s="38"/>
      <x:c r="I45" s="38"/>
      <x:c r="J45" s="38"/>
      <x:c r="K45" s="38"/>
      <x:c r="L45" s="38"/>
      <x:c r="M45" s="38"/>
      <x:c r="N45" s="38"/>
      <x:c r="O45" s="38"/>
      <x:c r="P45" s="38"/>
      <x:c r="Q45" s="38"/>
      <x:c r="R45" s="38"/>
      <x:c r="S45" s="38"/>
      <x:c r="T45" s="38"/>
      <x:c r="U45" s="38"/>
    </x:row>
    <x:row r="46" ht="23" customHeight="1">
      <x:c r="A46" s="38"/>
      <x:c r="B46" s="38"/>
      <x:c r="C46" s="38"/>
      <x:c r="D46" s="38"/>
      <x:c r="E46" s="38"/>
      <x:c r="F46" s="38"/>
      <x:c r="G46" s="38"/>
      <x:c r="H46" s="38"/>
      <x:c r="I46" s="38"/>
      <x:c r="J46" s="38"/>
      <x:c r="K46" s="38"/>
      <x:c r="L46" s="38"/>
      <x:c r="M46" s="38"/>
      <x:c r="N46" s="38"/>
      <x:c r="O46" s="38"/>
      <x:c r="P46" s="38"/>
      <x:c r="Q46" s="38"/>
      <x:c r="R46" s="38"/>
      <x:c r="S46" s="38"/>
      <x:c r="T46" s="38"/>
      <x:c r="U46" s="38"/>
    </x:row>
    <x:row r="47" ht="23" customHeight="1">
      <x:c r="A47" s="38"/>
      <x:c r="B47" s="38"/>
      <x:c r="C47" s="38"/>
      <x:c r="D47" s="38"/>
      <x:c r="E47" s="38"/>
      <x:c r="F47" s="38"/>
      <x:c r="G47" s="38"/>
      <x:c r="H47" s="38"/>
      <x:c r="I47" s="38"/>
      <x:c r="J47" s="38"/>
      <x:c r="K47" s="38"/>
      <x:c r="L47" s="38"/>
      <x:c r="M47" s="38"/>
      <x:c r="N47" s="38"/>
      <x:c r="O47" s="38"/>
      <x:c r="P47" s="38"/>
      <x:c r="Q47" s="38"/>
      <x:c r="R47" s="38"/>
      <x:c r="S47" s="38"/>
      <x:c r="T47" s="38"/>
      <x:c r="U47" s="38"/>
    </x:row>
    <x:row r="48" ht="23" customHeight="1">
      <x:c r="A48" s="38"/>
      <x:c r="B48" s="38"/>
      <x:c r="C48" s="38"/>
      <x:c r="D48" s="38"/>
      <x:c r="E48" s="38"/>
      <x:c r="F48" s="38"/>
      <x:c r="G48" s="38"/>
      <x:c r="H48" s="38"/>
      <x:c r="I48" s="38"/>
      <x:c r="J48" s="38"/>
      <x:c r="K48" s="38"/>
      <x:c r="L48" s="38"/>
      <x:c r="M48" s="38"/>
      <x:c r="N48" s="38"/>
      <x:c r="O48" s="38"/>
      <x:c r="P48" s="38"/>
      <x:c r="Q48" s="38"/>
      <x:c r="R48" s="38"/>
      <x:c r="S48" s="38"/>
      <x:c r="T48" s="38"/>
      <x:c r="U48" s="38"/>
    </x:row>
    <x:row r="49" ht="23" customHeight="1">
      <x:c r="A49" s="38"/>
      <x:c r="B49" s="38"/>
      <x:c r="C49" s="38"/>
      <x:c r="D49" s="38"/>
      <x:c r="E49" s="38"/>
      <x:c r="F49" s="38"/>
      <x:c r="G49" s="38"/>
      <x:c r="H49" s="38"/>
      <x:c r="I49" s="38"/>
      <x:c r="J49" s="38"/>
      <x:c r="K49" s="38"/>
      <x:c r="L49" s="38"/>
      <x:c r="M49" s="38"/>
      <x:c r="N49" s="38"/>
      <x:c r="O49" s="38"/>
      <x:c r="P49" s="38"/>
      <x:c r="Q49" s="38"/>
      <x:c r="R49" s="38"/>
      <x:c r="S49" s="38"/>
      <x:c r="T49" s="38"/>
      <x:c r="U49" s="38"/>
    </x:row>
    <x:row r="50" ht="23" customHeight="1">
      <x:c r="A50" s="38"/>
      <x:c r="B50" s="38"/>
      <x:c r="C50" s="38"/>
      <x:c r="D50" s="38"/>
      <x:c r="E50" s="38"/>
      <x:c r="F50" s="38"/>
      <x:c r="G50" s="38"/>
      <x:c r="H50" s="38"/>
      <x:c r="I50" s="38"/>
      <x:c r="J50" s="38"/>
      <x:c r="K50" s="38"/>
      <x:c r="L50" s="38"/>
      <x:c r="M50" s="38"/>
      <x:c r="N50" s="38"/>
      <x:c r="O50" s="38"/>
      <x:c r="P50" s="38"/>
      <x:c r="Q50" s="38"/>
      <x:c r="R50" s="38"/>
      <x:c r="S50" s="38"/>
      <x:c r="T50" s="38"/>
      <x:c r="U50" s="38"/>
    </x:row>
    <x:row r="51" ht="23" customHeight="1">
      <x:c r="A51" s="38"/>
      <x:c r="B51" s="38"/>
      <x:c r="C51" s="38"/>
      <x:c r="D51" s="38"/>
      <x:c r="E51" s="38"/>
      <x:c r="F51" s="38"/>
      <x:c r="G51" s="38"/>
      <x:c r="H51" s="38"/>
      <x:c r="I51" s="38"/>
      <x:c r="J51" s="38"/>
      <x:c r="K51" s="38"/>
      <x:c r="L51" s="38"/>
      <x:c r="M51" s="38"/>
      <x:c r="N51" s="38"/>
      <x:c r="O51" s="38"/>
      <x:c r="P51" s="38"/>
      <x:c r="Q51" s="38"/>
      <x:c r="R51" s="38"/>
      <x:c r="S51" s="38"/>
      <x:c r="T51" s="38"/>
      <x:c r="U51" s="38"/>
    </x:row>
    <x:row r="52" ht="23" customHeight="1">
      <x:c r="A52" s="38"/>
      <x:c r="B52" s="38"/>
      <x:c r="C52" s="38"/>
      <x:c r="D52" s="38"/>
      <x:c r="E52" s="38"/>
      <x:c r="F52" s="38"/>
      <x:c r="G52" s="38"/>
      <x:c r="H52" s="38"/>
      <x:c r="I52" s="38"/>
      <x:c r="J52" s="38"/>
      <x:c r="K52" s="38"/>
      <x:c r="L52" s="38"/>
      <x:c r="M52" s="38"/>
      <x:c r="N52" s="38"/>
      <x:c r="O52" s="38"/>
      <x:c r="P52" s="38"/>
      <x:c r="Q52" s="38"/>
      <x:c r="R52" s="38"/>
      <x:c r="S52" s="38"/>
      <x:c r="T52" s="38"/>
      <x:c r="U52" s="38"/>
    </x:row>
    <x:row r="53" ht="23" customHeight="1">
      <x:c r="A53" s="38"/>
      <x:c r="B53" s="38"/>
      <x:c r="C53" s="38"/>
      <x:c r="D53" s="38"/>
      <x:c r="E53" s="38"/>
      <x:c r="F53" s="38"/>
      <x:c r="G53" s="38"/>
      <x:c r="H53" s="38"/>
      <x:c r="I53" s="38"/>
      <x:c r="J53" s="38"/>
      <x:c r="K53" s="38"/>
      <x:c r="L53" s="38"/>
      <x:c r="M53" s="38"/>
      <x:c r="N53" s="38"/>
      <x:c r="O53" s="38"/>
      <x:c r="P53" s="38"/>
      <x:c r="Q53" s="38"/>
      <x:c r="R53" s="38"/>
      <x:c r="S53" s="38"/>
      <x:c r="T53" s="38"/>
      <x:c r="U53" s="38"/>
    </x:row>
    <x:row r="54" ht="23" customHeight="1">
      <x:c r="A54" s="38"/>
      <x:c r="B54" s="38"/>
      <x:c r="C54" s="38"/>
      <x:c r="D54" s="38"/>
      <x:c r="E54" s="38"/>
      <x:c r="F54" s="38"/>
      <x:c r="G54" s="38"/>
      <x:c r="H54" s="38"/>
      <x:c r="I54" s="38"/>
      <x:c r="J54" s="38"/>
      <x:c r="K54" s="38"/>
      <x:c r="L54" s="38"/>
      <x:c r="M54" s="38"/>
      <x:c r="N54" s="38"/>
      <x:c r="O54" s="38"/>
      <x:c r="P54" s="38"/>
      <x:c r="Q54" s="38"/>
      <x:c r="R54" s="38"/>
      <x:c r="S54" s="38"/>
      <x:c r="T54" s="38"/>
      <x:c r="U54" s="38"/>
    </x:row>
    <x:row r="55" ht="23" customHeight="1">
      <x:c r="A55" s="38"/>
      <x:c r="B55" s="38"/>
      <x:c r="C55" s="38"/>
      <x:c r="D55" s="38"/>
      <x:c r="E55" s="38"/>
      <x:c r="F55" s="38"/>
      <x:c r="G55" s="38"/>
      <x:c r="H55" s="38"/>
      <x:c r="I55" s="38"/>
      <x:c r="J55" s="38"/>
      <x:c r="K55" s="38"/>
      <x:c r="L55" s="38"/>
      <x:c r="M55" s="38"/>
      <x:c r="N55" s="38"/>
      <x:c r="O55" s="38"/>
      <x:c r="P55" s="38"/>
      <x:c r="Q55" s="38"/>
      <x:c r="R55" s="38"/>
      <x:c r="S55" s="38"/>
      <x:c r="T55" s="38"/>
      <x:c r="U55" s="38"/>
    </x:row>
    <x:row r="56" ht="23" customHeight="1">
      <x:c r="A56" s="38"/>
      <x:c r="B56" s="38"/>
      <x:c r="C56" s="38"/>
      <x:c r="D56" s="38"/>
      <x:c r="E56" s="38"/>
      <x:c r="F56" s="38"/>
      <x:c r="G56" s="38"/>
      <x:c r="H56" s="38"/>
      <x:c r="I56" s="38"/>
      <x:c r="J56" s="38"/>
      <x:c r="K56" s="38"/>
      <x:c r="L56" s="38"/>
      <x:c r="M56" s="38"/>
      <x:c r="N56" s="38"/>
      <x:c r="O56" s="38"/>
      <x:c r="P56" s="38"/>
      <x:c r="Q56" s="38"/>
      <x:c r="R56" s="38"/>
      <x:c r="S56" s="38"/>
      <x:c r="T56" s="38"/>
      <x:c r="U56" s="38"/>
    </x:row>
    <x:row r="57" ht="23" customHeight="1">
      <x:c r="A57" s="38"/>
      <x:c r="B57" s="38"/>
      <x:c r="C57" s="38"/>
      <x:c r="D57" s="38"/>
      <x:c r="E57" s="38"/>
      <x:c r="F57" s="38"/>
      <x:c r="G57" s="38"/>
      <x:c r="H57" s="38"/>
      <x:c r="I57" s="38"/>
      <x:c r="J57" s="38"/>
      <x:c r="K57" s="38"/>
      <x:c r="L57" s="38"/>
      <x:c r="M57" s="38"/>
      <x:c r="N57" s="38"/>
      <x:c r="O57" s="38"/>
      <x:c r="P57" s="38"/>
      <x:c r="Q57" s="38"/>
      <x:c r="R57" s="38"/>
      <x:c r="S57" s="38"/>
      <x:c r="T57" s="38"/>
      <x:c r="U57" s="38"/>
    </x:row>
    <x:row r="58" ht="23" customHeight="1">
      <x:c r="A58" s="38"/>
      <x:c r="B58" s="38"/>
      <x:c r="C58" s="38"/>
      <x:c r="D58" s="38"/>
      <x:c r="E58" s="38"/>
      <x:c r="F58" s="38"/>
      <x:c r="G58" s="38"/>
      <x:c r="H58" s="38"/>
      <x:c r="I58" s="38"/>
      <x:c r="J58" s="38"/>
      <x:c r="K58" s="38"/>
      <x:c r="L58" s="38"/>
      <x:c r="M58" s="38"/>
      <x:c r="N58" s="38"/>
      <x:c r="O58" s="38"/>
      <x:c r="P58" s="38"/>
      <x:c r="Q58" s="38"/>
      <x:c r="R58" s="38"/>
      <x:c r="S58" s="38"/>
      <x:c r="T58" s="38"/>
      <x:c r="U58" s="38"/>
    </x:row>
    <x:row r="59" ht="23" customHeight="1">
      <x:c r="A59" s="38"/>
      <x:c r="B59" s="38"/>
      <x:c r="C59" s="38"/>
      <x:c r="D59" s="38"/>
      <x:c r="E59" s="38"/>
      <x:c r="F59" s="38"/>
      <x:c r="G59" s="38"/>
      <x:c r="H59" s="38"/>
      <x:c r="I59" s="38"/>
      <x:c r="J59" s="38"/>
      <x:c r="K59" s="38"/>
      <x:c r="L59" s="38"/>
      <x:c r="M59" s="38"/>
      <x:c r="N59" s="38"/>
      <x:c r="O59" s="38"/>
      <x:c r="P59" s="38"/>
      <x:c r="Q59" s="38"/>
      <x:c r="R59" s="38"/>
      <x:c r="S59" s="38"/>
      <x:c r="T59" s="38"/>
      <x:c r="U59" s="38"/>
    </x:row>
    <x:row r="60" ht="23" customHeight="1">
      <x:c r="A60" s="38"/>
      <x:c r="B60" s="38"/>
      <x:c r="C60" s="38"/>
      <x:c r="D60" s="38"/>
      <x:c r="E60" s="38"/>
      <x:c r="F60" s="38"/>
      <x:c r="G60" s="38"/>
      <x:c r="H60" s="38"/>
      <x:c r="I60" s="38"/>
      <x:c r="J60" s="38"/>
      <x:c r="K60" s="38"/>
      <x:c r="L60" s="38"/>
      <x:c r="M60" s="38"/>
      <x:c r="N60" s="38"/>
      <x:c r="O60" s="38"/>
      <x:c r="P60" s="38"/>
      <x:c r="Q60" s="38"/>
      <x:c r="R60" s="38"/>
      <x:c r="S60" s="38"/>
      <x:c r="T60" s="38"/>
      <x:c r="U60" s="38"/>
    </x:row>
    <x:row r="61" ht="23" customHeight="1">
      <x:c r="A61" s="38"/>
      <x:c r="B61" s="38"/>
      <x:c r="C61" s="38"/>
      <x:c r="D61" s="38"/>
      <x:c r="E61" s="38"/>
      <x:c r="F61" s="38"/>
      <x:c r="G61" s="38"/>
      <x:c r="H61" s="38"/>
      <x:c r="I61" s="38"/>
      <x:c r="J61" s="38"/>
      <x:c r="K61" s="38"/>
      <x:c r="L61" s="38"/>
      <x:c r="M61" s="38"/>
      <x:c r="N61" s="38"/>
      <x:c r="O61" s="38"/>
      <x:c r="P61" s="38"/>
      <x:c r="Q61" s="38"/>
      <x:c r="R61" s="38"/>
      <x:c r="S61" s="38"/>
      <x:c r="T61" s="38"/>
      <x:c r="U61" s="38"/>
    </x:row>
    <x:row r="62" ht="23" customHeight="1">
      <x:c r="A62" s="38"/>
      <x:c r="B62" s="38"/>
      <x:c r="C62" s="38"/>
      <x:c r="D62" s="38"/>
      <x:c r="E62" s="38"/>
      <x:c r="F62" s="38"/>
      <x:c r="G62" s="38"/>
      <x:c r="H62" s="38"/>
      <x:c r="I62" s="38"/>
      <x:c r="J62" s="38"/>
      <x:c r="K62" s="38"/>
      <x:c r="L62" s="38"/>
      <x:c r="M62" s="38"/>
      <x:c r="N62" s="38"/>
      <x:c r="O62" s="38"/>
      <x:c r="P62" s="38"/>
      <x:c r="Q62" s="38"/>
      <x:c r="R62" s="38"/>
      <x:c r="S62" s="38"/>
      <x:c r="T62" s="38"/>
      <x:c r="U62" s="38"/>
    </x:row>
    <x:row r="63" ht="23" customHeight="1">
      <x:c r="A63" s="38"/>
      <x:c r="B63" s="38"/>
      <x:c r="C63" s="38"/>
      <x:c r="D63" s="38"/>
      <x:c r="E63" s="38"/>
      <x:c r="F63" s="38"/>
      <x:c r="G63" s="38"/>
      <x:c r="H63" s="38"/>
      <x:c r="I63" s="38"/>
      <x:c r="J63" s="38"/>
      <x:c r="K63" s="38"/>
      <x:c r="L63" s="38"/>
      <x:c r="M63" s="38"/>
      <x:c r="N63" s="38"/>
      <x:c r="O63" s="38"/>
      <x:c r="P63" s="38"/>
      <x:c r="Q63" s="38"/>
      <x:c r="R63" s="38"/>
      <x:c r="S63" s="38"/>
      <x:c r="T63" s="38"/>
      <x:c r="U63" s="38"/>
    </x:row>
    <x:row r="64" ht="23" customHeight="1">
      <x:c r="A64" s="38"/>
      <x:c r="B64" s="38"/>
      <x:c r="C64" s="38"/>
      <x:c r="D64" s="38"/>
      <x:c r="E64" s="38"/>
      <x:c r="F64" s="38"/>
      <x:c r="G64" s="38"/>
      <x:c r="H64" s="38"/>
      <x:c r="I64" s="38"/>
      <x:c r="J64" s="38"/>
      <x:c r="K64" s="38"/>
      <x:c r="L64" s="38"/>
      <x:c r="M64" s="38"/>
      <x:c r="N64" s="38"/>
      <x:c r="O64" s="38"/>
      <x:c r="P64" s="38"/>
      <x:c r="Q64" s="38"/>
      <x:c r="R64" s="38"/>
      <x:c r="S64" s="38"/>
      <x:c r="T64" s="38"/>
      <x:c r="U64" s="38"/>
    </x:row>
    <x:row r="65" ht="23" customHeight="1">
      <x:c r="A65" s="38"/>
      <x:c r="B65" s="38"/>
      <x:c r="C65" s="38"/>
      <x:c r="D65" s="38"/>
      <x:c r="E65" s="38"/>
      <x:c r="F65" s="38"/>
      <x:c r="G65" s="38"/>
      <x:c r="H65" s="38"/>
      <x:c r="I65" s="38"/>
      <x:c r="J65" s="38"/>
      <x:c r="K65" s="38"/>
      <x:c r="L65" s="38"/>
      <x:c r="M65" s="38"/>
      <x:c r="N65" s="38"/>
      <x:c r="O65" s="38"/>
      <x:c r="P65" s="38"/>
      <x:c r="Q65" s="38"/>
      <x:c r="R65" s="38"/>
      <x:c r="S65" s="38"/>
      <x:c r="T65" s="38"/>
      <x:c r="U65" s="38"/>
    </x:row>
    <x:row r="66" ht="23" customHeight="1">
      <x:c r="A66" s="38"/>
      <x:c r="B66" s="38"/>
      <x:c r="C66" s="38"/>
      <x:c r="D66" s="38"/>
      <x:c r="E66" s="38"/>
      <x:c r="F66" s="38"/>
      <x:c r="G66" s="38"/>
      <x:c r="H66" s="38"/>
      <x:c r="I66" s="38"/>
      <x:c r="J66" s="38"/>
      <x:c r="K66" s="38"/>
      <x:c r="L66" s="38"/>
      <x:c r="M66" s="38"/>
      <x:c r="N66" s="38"/>
      <x:c r="O66" s="38"/>
      <x:c r="P66" s="38"/>
      <x:c r="Q66" s="38"/>
      <x:c r="R66" s="38"/>
      <x:c r="S66" s="38"/>
      <x:c r="T66" s="38"/>
      <x:c r="U66" s="38"/>
    </x:row>
    <x:row r="67" ht="23" customHeight="1">
      <x:c r="A67" s="38"/>
      <x:c r="B67" s="38"/>
      <x:c r="C67" s="38"/>
      <x:c r="D67" s="38"/>
      <x:c r="E67" s="38"/>
      <x:c r="F67" s="38"/>
      <x:c r="G67" s="38"/>
      <x:c r="H67" s="38"/>
      <x:c r="I67" s="38"/>
      <x:c r="J67" s="38"/>
      <x:c r="K67" s="38"/>
      <x:c r="L67" s="38"/>
      <x:c r="M67" s="38"/>
      <x:c r="N67" s="38"/>
      <x:c r="O67" s="38"/>
      <x:c r="P67" s="38"/>
      <x:c r="Q67" s="38"/>
      <x:c r="R67" s="38"/>
      <x:c r="S67" s="38"/>
      <x:c r="T67" s="38"/>
      <x:c r="U67" s="38"/>
    </x:row>
    <x:row r="68" ht="23" customHeight="1">
      <x:c r="A68" s="38"/>
      <x:c r="B68" s="38"/>
      <x:c r="C68" s="38"/>
      <x:c r="D68" s="38"/>
      <x:c r="E68" s="38"/>
      <x:c r="F68" s="38"/>
      <x:c r="G68" s="38"/>
      <x:c r="H68" s="38"/>
      <x:c r="I68" s="38"/>
      <x:c r="J68" s="38"/>
      <x:c r="K68" s="38"/>
      <x:c r="L68" s="38"/>
      <x:c r="M68" s="38"/>
      <x:c r="N68" s="38"/>
      <x:c r="O68" s="38"/>
      <x:c r="P68" s="38"/>
      <x:c r="Q68" s="38"/>
      <x:c r="R68" s="38"/>
      <x:c r="S68" s="38"/>
      <x:c r="T68" s="38"/>
      <x:c r="U68" s="38"/>
    </x:row>
    <x:row r="69" ht="23" customHeight="1">
      <x:c r="A69" s="38"/>
      <x:c r="B69" s="38"/>
      <x:c r="C69" s="38"/>
      <x:c r="D69" s="38"/>
      <x:c r="E69" s="38"/>
      <x:c r="F69" s="38"/>
      <x:c r="G69" s="38"/>
      <x:c r="H69" s="38"/>
      <x:c r="I69" s="38"/>
      <x:c r="J69" s="38"/>
      <x:c r="K69" s="38"/>
      <x:c r="L69" s="38"/>
      <x:c r="M69" s="38"/>
      <x:c r="N69" s="38"/>
      <x:c r="O69" s="38"/>
      <x:c r="P69" s="38"/>
      <x:c r="Q69" s="38"/>
      <x:c r="R69" s="38"/>
      <x:c r="S69" s="38"/>
      <x:c r="T69" s="38"/>
      <x:c r="U69" s="38"/>
    </x:row>
    <x:row r="70" ht="23" customHeight="1">
      <x:c r="A70" s="38"/>
      <x:c r="B70" s="38"/>
      <x:c r="C70" s="38"/>
      <x:c r="D70" s="38"/>
      <x:c r="E70" s="38"/>
      <x:c r="F70" s="38"/>
      <x:c r="G70" s="38"/>
      <x:c r="H70" s="38"/>
      <x:c r="I70" s="38"/>
      <x:c r="J70" s="38"/>
      <x:c r="K70" s="38"/>
      <x:c r="L70" s="38"/>
      <x:c r="M70" s="38"/>
      <x:c r="N70" s="38"/>
      <x:c r="O70" s="38"/>
      <x:c r="P70" s="38"/>
      <x:c r="Q70" s="38"/>
      <x:c r="R70" s="38"/>
      <x:c r="S70" s="38"/>
      <x:c r="T70" s="38"/>
      <x:c r="U70" s="38"/>
    </x:row>
    <x:row r="71" ht="23" customHeight="1">
      <x:c r="A71" s="38"/>
      <x:c r="B71" s="38"/>
      <x:c r="C71" s="38"/>
      <x:c r="D71" s="38"/>
      <x:c r="E71" s="38"/>
      <x:c r="F71" s="38"/>
      <x:c r="G71" s="38"/>
      <x:c r="H71" s="38"/>
      <x:c r="I71" s="38"/>
      <x:c r="J71" s="38"/>
      <x:c r="K71" s="38"/>
      <x:c r="L71" s="38"/>
      <x:c r="M71" s="38"/>
      <x:c r="N71" s="38"/>
      <x:c r="O71" s="38"/>
      <x:c r="P71" s="38"/>
      <x:c r="Q71" s="38"/>
      <x:c r="R71" s="38"/>
      <x:c r="S71" s="38"/>
      <x:c r="T71" s="38"/>
      <x:c r="U71" s="38"/>
    </x:row>
    <x:row r="72" ht="23" customHeight="1">
      <x:c r="A72" s="38"/>
      <x:c r="B72" s="38"/>
      <x:c r="C72" s="38"/>
      <x:c r="D72" s="38"/>
      <x:c r="E72" s="38"/>
      <x:c r="F72" s="38"/>
      <x:c r="G72" s="38"/>
      <x:c r="H72" s="38"/>
      <x:c r="I72" s="38"/>
      <x:c r="J72" s="38"/>
      <x:c r="K72" s="38"/>
      <x:c r="L72" s="38"/>
      <x:c r="M72" s="38"/>
      <x:c r="N72" s="38"/>
      <x:c r="O72" s="38"/>
      <x:c r="P72" s="38"/>
      <x:c r="Q72" s="38"/>
      <x:c r="R72" s="38"/>
      <x:c r="S72" s="38"/>
      <x:c r="T72" s="38"/>
      <x:c r="U72" s="38"/>
    </x:row>
    <x:row r="73" ht="23" customHeight="1">
      <x:c r="A73" s="38"/>
      <x:c r="B73" s="38"/>
      <x:c r="C73" s="38"/>
      <x:c r="D73" s="38"/>
      <x:c r="E73" s="38"/>
      <x:c r="F73" s="38"/>
      <x:c r="G73" s="38"/>
      <x:c r="H73" s="38"/>
      <x:c r="I73" s="38"/>
      <x:c r="J73" s="38"/>
      <x:c r="K73" s="38"/>
      <x:c r="L73" s="38"/>
      <x:c r="M73" s="38"/>
      <x:c r="N73" s="38"/>
      <x:c r="O73" s="38"/>
      <x:c r="P73" s="38"/>
      <x:c r="Q73" s="38"/>
      <x:c r="R73" s="38"/>
      <x:c r="S73" s="38"/>
      <x:c r="T73" s="38"/>
      <x:c r="U73" s="38"/>
    </x:row>
    <x:row r="74" ht="23" customHeight="1">
      <x:c r="A74" s="38"/>
      <x:c r="B74" s="38"/>
      <x:c r="C74" s="38"/>
      <x:c r="D74" s="38"/>
      <x:c r="E74" s="38"/>
      <x:c r="F74" s="38"/>
      <x:c r="G74" s="38"/>
      <x:c r="H74" s="38"/>
      <x:c r="I74" s="38"/>
      <x:c r="J74" s="38"/>
      <x:c r="K74" s="38"/>
      <x:c r="L74" s="38"/>
      <x:c r="M74" s="38"/>
      <x:c r="N74" s="38"/>
      <x:c r="O74" s="38"/>
      <x:c r="P74" s="38"/>
      <x:c r="Q74" s="38"/>
      <x:c r="R74" s="38"/>
      <x:c r="S74" s="38"/>
      <x:c r="T74" s="38"/>
      <x:c r="U74" s="38"/>
    </x:row>
    <x:row r="75" ht="23" customHeight="1">
      <x:c r="A75" s="38"/>
      <x:c r="B75" s="38"/>
      <x:c r="C75" s="38"/>
      <x:c r="D75" s="38"/>
      <x:c r="E75" s="38"/>
      <x:c r="F75" s="38"/>
      <x:c r="G75" s="38"/>
      <x:c r="H75" s="38"/>
      <x:c r="I75" s="38"/>
      <x:c r="J75" s="38"/>
      <x:c r="K75" s="38"/>
      <x:c r="L75" s="38"/>
      <x:c r="M75" s="38"/>
      <x:c r="N75" s="38"/>
      <x:c r="O75" s="38"/>
      <x:c r="P75" s="38"/>
      <x:c r="Q75" s="38"/>
      <x:c r="R75" s="38"/>
      <x:c r="S75" s="38"/>
      <x:c r="T75" s="38"/>
      <x:c r="U75" s="38"/>
    </x:row>
    <x:row r="76" ht="23" customHeight="1">
      <x:c r="A76" s="38"/>
      <x:c r="B76" s="38"/>
      <x:c r="C76" s="38"/>
      <x:c r="D76" s="38"/>
      <x:c r="E76" s="38"/>
      <x:c r="F76" s="38"/>
      <x:c r="G76" s="38"/>
      <x:c r="H76" s="38"/>
      <x:c r="I76" s="38"/>
      <x:c r="J76" s="38"/>
      <x:c r="K76" s="38"/>
      <x:c r="L76" s="38"/>
      <x:c r="M76" s="38"/>
      <x:c r="N76" s="38"/>
      <x:c r="O76" s="38"/>
      <x:c r="P76" s="38"/>
      <x:c r="Q76" s="38"/>
      <x:c r="R76" s="38"/>
      <x:c r="S76" s="38"/>
      <x:c r="T76" s="38"/>
      <x:c r="U76" s="38"/>
    </x:row>
    <x:row r="77" ht="23" customHeight="1">
      <x:c r="A77" s="38"/>
      <x:c r="B77" s="38"/>
      <x:c r="C77" s="38"/>
      <x:c r="D77" s="38"/>
      <x:c r="E77" s="38"/>
      <x:c r="F77" s="38"/>
      <x:c r="G77" s="38"/>
      <x:c r="H77" s="38"/>
      <x:c r="I77" s="38"/>
      <x:c r="J77" s="38"/>
      <x:c r="K77" s="38"/>
      <x:c r="L77" s="38"/>
      <x:c r="M77" s="38"/>
      <x:c r="N77" s="38"/>
      <x:c r="O77" s="38"/>
      <x:c r="P77" s="38"/>
      <x:c r="Q77" s="38"/>
      <x:c r="R77" s="38"/>
      <x:c r="S77" s="38"/>
      <x:c r="T77" s="38"/>
      <x:c r="U77" s="38"/>
    </x:row>
    <x:row r="78" ht="23" customHeight="1">
      <x:c r="A78" s="38"/>
      <x:c r="B78" s="38"/>
      <x:c r="C78" s="38"/>
      <x:c r="D78" s="38"/>
      <x:c r="E78" s="38"/>
      <x:c r="F78" s="38"/>
      <x:c r="G78" s="38"/>
      <x:c r="H78" s="38"/>
      <x:c r="I78" s="38"/>
      <x:c r="J78" s="38"/>
      <x:c r="K78" s="38"/>
      <x:c r="L78" s="38"/>
      <x:c r="M78" s="38"/>
      <x:c r="N78" s="38"/>
      <x:c r="O78" s="38"/>
      <x:c r="P78" s="38"/>
      <x:c r="Q78" s="38"/>
      <x:c r="R78" s="38"/>
      <x:c r="S78" s="38"/>
      <x:c r="T78" s="38"/>
      <x:c r="U78" s="38"/>
    </x:row>
    <x:row r="79" ht="23" customHeight="1">
      <x:c r="A79" s="38"/>
      <x:c r="B79" s="38"/>
      <x:c r="C79" s="38"/>
      <x:c r="D79" s="38"/>
      <x:c r="E79" s="38"/>
      <x:c r="F79" s="38"/>
      <x:c r="G79" s="38"/>
      <x:c r="H79" s="38"/>
      <x:c r="I79" s="38"/>
      <x:c r="J79" s="38"/>
      <x:c r="K79" s="38"/>
      <x:c r="L79" s="38"/>
      <x:c r="M79" s="38"/>
      <x:c r="N79" s="38"/>
      <x:c r="O79" s="38"/>
      <x:c r="P79" s="38"/>
      <x:c r="Q79" s="38"/>
      <x:c r="R79" s="38"/>
      <x:c r="S79" s="38"/>
      <x:c r="T79" s="38"/>
      <x:c r="U79" s="38"/>
    </x:row>
    <x:row r="80" ht="23" customHeight="1">
      <x:c r="A80" s="38"/>
      <x:c r="B80" s="38"/>
      <x:c r="C80" s="38"/>
      <x:c r="D80" s="38"/>
      <x:c r="E80" s="38"/>
      <x:c r="F80" s="38"/>
      <x:c r="G80" s="38"/>
      <x:c r="H80" s="38"/>
      <x:c r="I80" s="38"/>
      <x:c r="J80" s="38"/>
      <x:c r="K80" s="38"/>
      <x:c r="L80" s="38"/>
      <x:c r="M80" s="38"/>
      <x:c r="N80" s="38"/>
      <x:c r="O80" s="38"/>
      <x:c r="P80" s="38"/>
      <x:c r="Q80" s="38"/>
      <x:c r="R80" s="38"/>
      <x:c r="S80" s="38"/>
      <x:c r="T80" s="38"/>
      <x:c r="U80" s="38"/>
    </x:row>
    <x:row r="81" ht="23" customHeight="1">
      <x:c r="A81" s="38"/>
      <x:c r="B81" s="38"/>
      <x:c r="C81" s="38"/>
      <x:c r="D81" s="38"/>
      <x:c r="E81" s="38"/>
      <x:c r="F81" s="38"/>
      <x:c r="G81" s="38"/>
      <x:c r="H81" s="38"/>
      <x:c r="I81" s="38"/>
      <x:c r="J81" s="38"/>
      <x:c r="K81" s="38"/>
      <x:c r="L81" s="38"/>
      <x:c r="M81" s="38"/>
      <x:c r="N81" s="38"/>
      <x:c r="O81" s="38"/>
      <x:c r="P81" s="38"/>
      <x:c r="Q81" s="38"/>
      <x:c r="R81" s="38"/>
      <x:c r="S81" s="38"/>
      <x:c r="T81" s="38"/>
      <x:c r="U81" s="38"/>
    </x:row>
    <x:row r="82" ht="23" customHeight="1">
      <x:c r="A82" s="38"/>
      <x:c r="B82" s="38"/>
      <x:c r="C82" s="38"/>
      <x:c r="D82" s="38"/>
      <x:c r="E82" s="38"/>
      <x:c r="F82" s="38"/>
      <x:c r="G82" s="38"/>
      <x:c r="H82" s="38"/>
      <x:c r="I82" s="38"/>
      <x:c r="J82" s="38"/>
      <x:c r="K82" s="38"/>
      <x:c r="L82" s="38"/>
      <x:c r="M82" s="38"/>
      <x:c r="N82" s="38"/>
      <x:c r="O82" s="38"/>
      <x:c r="P82" s="38"/>
      <x:c r="Q82" s="38"/>
      <x:c r="R82" s="38"/>
      <x:c r="S82" s="38"/>
      <x:c r="T82" s="38"/>
      <x:c r="U82" s="38"/>
    </x:row>
    <x:row r="83" ht="23" customHeight="1">
      <x:c r="A83" s="38"/>
      <x:c r="B83" s="38"/>
      <x:c r="C83" s="38"/>
      <x:c r="D83" s="38"/>
      <x:c r="E83" s="38"/>
      <x:c r="F83" s="38"/>
      <x:c r="G83" s="38"/>
      <x:c r="H83" s="38"/>
      <x:c r="I83" s="38"/>
      <x:c r="J83" s="38"/>
      <x:c r="K83" s="38"/>
      <x:c r="L83" s="38"/>
      <x:c r="M83" s="38"/>
      <x:c r="N83" s="38"/>
      <x:c r="O83" s="38"/>
      <x:c r="P83" s="38"/>
      <x:c r="Q83" s="38"/>
      <x:c r="R83" s="38"/>
      <x:c r="S83" s="38"/>
      <x:c r="T83" s="38"/>
      <x:c r="U83" s="38"/>
    </x:row>
    <x:row r="84" ht="23" customHeight="1">
      <x:c r="A84" s="38"/>
      <x:c r="B84" s="38"/>
      <x:c r="C84" s="38"/>
      <x:c r="D84" s="38"/>
      <x:c r="E84" s="38"/>
      <x:c r="F84" s="38"/>
      <x:c r="G84" s="38"/>
      <x:c r="H84" s="38"/>
      <x:c r="I84" s="38"/>
      <x:c r="J84" s="38"/>
      <x:c r="K84" s="38"/>
      <x:c r="L84" s="38"/>
      <x:c r="M84" s="38"/>
      <x:c r="N84" s="38"/>
      <x:c r="O84" s="38"/>
      <x:c r="P84" s="38"/>
      <x:c r="Q84" s="38"/>
      <x:c r="R84" s="38"/>
      <x:c r="S84" s="38"/>
      <x:c r="T84" s="38"/>
      <x:c r="U84" s="38"/>
    </x:row>
    <x:row r="85" ht="23" customHeight="1">
      <x:c r="A85" s="38"/>
      <x:c r="B85" s="38"/>
      <x:c r="C85" s="38"/>
      <x:c r="D85" s="38"/>
      <x:c r="E85" s="38"/>
      <x:c r="F85" s="38"/>
      <x:c r="G85" s="38"/>
      <x:c r="H85" s="38"/>
      <x:c r="I85" s="38"/>
      <x:c r="J85" s="38"/>
      <x:c r="K85" s="38"/>
      <x:c r="L85" s="38"/>
      <x:c r="M85" s="38"/>
      <x:c r="N85" s="38"/>
      <x:c r="O85" s="38"/>
      <x:c r="P85" s="38"/>
      <x:c r="Q85" s="38"/>
      <x:c r="R85" s="38"/>
      <x:c r="S85" s="38"/>
      <x:c r="T85" s="38"/>
      <x:c r="U85" s="38"/>
    </x:row>
  </x:sheetData>
  <x:mergeCells>
    <x:mergeCell ref="B2:J3"/>
    <x:mergeCell ref="B4:J5"/>
    <x:mergeCell ref="B7:J7"/>
    <x:mergeCell ref="D9:J9"/>
    <x:mergeCell ref="D10:J10"/>
    <x:mergeCell ref="D11:J11"/>
    <x:mergeCell ref="D12:J12"/>
    <x:mergeCell ref="D13:J13"/>
    <x:mergeCell ref="D14:J14"/>
    <x:mergeCell ref="D15:J15"/>
    <x:mergeCell ref="D16:J16"/>
    <x:mergeCell ref="D17:J17"/>
    <x:mergeCell ref="D18:J18"/>
    <x:mergeCell ref="D21:J21"/>
    <x:mergeCell ref="D22:J22"/>
    <x:mergeCell ref="D23:J23"/>
    <x:mergeCell ref="D24:J24"/>
    <x:mergeCell ref="B27:J27"/>
    <x:mergeCell ref="B30:J30"/>
    <x:mergeCell ref="B33:J33"/>
    <x:mergeCell ref="B36:J36"/>
    <x:mergeCell ref="D37:J37"/>
    <x:mergeCell ref="D38:J38"/>
    <x:mergeCell ref="D39:J39"/>
    <x:mergeCell ref="B41:J4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007F86"/>
  </x:sheetPr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3" hidden="0" customWidth="1"/>
    <x:col min="2" max="2" width="24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</x:cols>
  <x:sheetData>
    <x:row r="1" ht="23" customHeight="1">
      <x:c r="A1" s="38"/>
      <x:c r="B1" s="38"/>
      <x:c r="C1" s="38"/>
      <x:c r="D1" s="38"/>
      <x:c r="E1" s="38"/>
      <x:c r="F1" s="38"/>
      <x:c r="G1" s="38"/>
      <x:c r="H1" s="38"/>
      <x:c r="I1" s="38"/>
      <x:c r="J1" s="38"/>
      <x:c r="K1" s="38"/>
      <x:c r="L1" s="38"/>
      <x:c r="M1" s="38"/>
      <x:c r="N1" s="38"/>
      <x:c r="O1" s="38"/>
      <x:c r="P1" s="38"/>
      <x:c r="Q1" s="38"/>
      <x:c r="R1" s="38"/>
      <x:c r="S1" s="38"/>
      <x:c r="T1" s="38"/>
      <x:c r="U1" s="38"/>
    </x:row>
    <x:row r="2" ht="23" customHeight="1">
      <x:c r="A2" s="38"/>
      <x:c r="B2" s="4" t="str">
        <x:v>PGIM return series &amp; allocation review</x:v>
      </x:c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38"/>
      <x:c r="P2" s="38"/>
      <x:c r="Q2" s="38"/>
      <x:c r="R2" s="38"/>
      <x:c r="S2" s="38"/>
      <x:c r="T2" s="38"/>
      <x:c r="U2" s="38"/>
    </x:row>
    <x:row r="3" ht="23" customHeight="1">
      <x:c r="A3" s="38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38"/>
      <x:c r="P3" s="38"/>
      <x:c r="Q3" s="38"/>
      <x:c r="R3" s="38"/>
      <x:c r="S3" s="38"/>
      <x:c r="T3" s="38"/>
      <x:c r="U3" s="38"/>
    </x:row>
    <x:row r="4" ht="23" customHeight="1">
      <x:c r="A4" s="38"/>
      <x:c r="B4" s="39" t="str">
        <x:v>Original 2021 simulation data • the reporting extension uses these sector returns with explicitly simulated account records.</x:v>
      </x:c>
      <x:c r="C4" s="39"/>
      <x:c r="D4" s="39"/>
      <x:c r="E4" s="39"/>
      <x:c r="F4" s="39"/>
      <x:c r="G4" s="39"/>
      <x:c r="H4" s="39"/>
      <x:c r="I4" s="39"/>
      <x:c r="J4" s="39"/>
      <x:c r="K4" s="39"/>
      <x:c r="L4" s="39"/>
      <x:c r="M4" s="39"/>
      <x:c r="N4" s="39"/>
      <x:c r="O4" s="38"/>
      <x:c r="P4" s="38"/>
      <x:c r="Q4" s="38"/>
      <x:c r="R4" s="38"/>
      <x:c r="S4" s="38"/>
      <x:c r="T4" s="38"/>
      <x:c r="U4" s="38"/>
    </x:row>
    <x:row r="5" ht="23" customHeight="1">
      <x:c r="A5" s="38"/>
      <x:c r="B5" s="39"/>
      <x:c r="C5" s="39"/>
      <x:c r="D5" s="39"/>
      <x:c r="E5" s="39"/>
      <x:c r="F5" s="39"/>
      <x:c r="G5" s="39"/>
      <x:c r="H5" s="39"/>
      <x:c r="I5" s="39"/>
      <x:c r="J5" s="39"/>
      <x:c r="K5" s="39"/>
      <x:c r="L5" s="39"/>
      <x:c r="M5" s="39"/>
      <x:c r="N5" s="39"/>
      <x:c r="O5" s="38"/>
      <x:c r="P5" s="38"/>
      <x:c r="Q5" s="38"/>
      <x:c r="R5" s="38"/>
      <x:c r="S5" s="38"/>
      <x:c r="T5" s="38"/>
      <x:c r="U5" s="38"/>
    </x:row>
    <x:row r="6" ht="23" customHeight="1">
      <x:c r="A6" s="38"/>
      <x:c r="B6" s="38"/>
      <x:c r="C6" s="38"/>
      <x:c r="D6" s="38"/>
      <x:c r="E6" s="38"/>
      <x:c r="F6" s="38"/>
      <x:c r="G6" s="38"/>
      <x:c r="H6" s="38"/>
      <x:c r="I6" s="38"/>
      <x:c r="J6" s="38"/>
      <x:c r="K6" s="38"/>
      <x:c r="L6" s="38"/>
      <x:c r="M6" s="38"/>
      <x:c r="N6" s="38"/>
      <x:c r="O6" s="38"/>
      <x:c r="P6" s="38"/>
      <x:c r="Q6" s="38"/>
      <x:c r="R6" s="38"/>
      <x:c r="S6" s="38"/>
      <x:c r="T6" s="38"/>
      <x:c r="U6" s="38"/>
    </x:row>
    <x:row r="7" ht="23" customHeight="1">
      <x:c r="A7" s="38"/>
      <x:c r="B7" s="38"/>
      <x:c r="C7" s="38"/>
      <x:c r="D7" s="38"/>
      <x:c r="E7" s="38"/>
      <x:c r="F7" s="38"/>
      <x:c r="G7" s="38"/>
      <x:c r="H7" s="38"/>
      <x:c r="I7" s="38"/>
      <x:c r="J7" s="38"/>
      <x:c r="K7" s="38"/>
      <x:c r="L7" s="38"/>
      <x:c r="M7" s="38"/>
      <x:c r="N7" s="38"/>
      <x:c r="O7" s="38"/>
      <x:c r="P7" s="38"/>
      <x:c r="Q7" s="38"/>
      <x:c r="R7" s="38"/>
      <x:c r="S7" s="38"/>
      <x:c r="T7" s="38"/>
      <x:c r="U7" s="38"/>
    </x:row>
    <x:row r="8" ht="23" customHeight="1">
      <x:c r="A8" s="38"/>
      <x:c r="B8" s="38"/>
      <x:c r="C8" s="38"/>
      <x:c r="D8" s="38"/>
      <x:c r="E8" s="38"/>
      <x:c r="F8" s="38"/>
      <x:c r="G8" s="38"/>
      <x:c r="H8" s="38"/>
      <x:c r="I8" s="38"/>
      <x:c r="J8" s="38"/>
      <x:c r="K8" s="38"/>
      <x:c r="L8" s="38"/>
      <x:c r="M8" s="38"/>
      <x:c r="N8" s="38"/>
      <x:c r="O8" s="38"/>
      <x:c r="P8" s="38"/>
      <x:c r="Q8" s="38"/>
      <x:c r="R8" s="38"/>
      <x:c r="S8" s="38"/>
      <x:c r="T8" s="38"/>
      <x:c r="U8" s="38"/>
    </x:row>
    <x:row r="9" ht="34" customHeight="1">
      <x:c r="A9" s="38"/>
      <x:c r="B9" s="41" t="str">
        <x:v>Month</x:v>
      </x:c>
      <x:c r="C9" s="41" t="str">
        <x:v>Technology</x:v>
      </x:c>
      <x:c r="D9" s="41" t="str">
        <x:v>Health Care</x:v>
      </x:c>
      <x:c r="E9" s="41" t="str">
        <x:v>Oil &amp; Gas</x:v>
      </x:c>
      <x:c r="F9" s="41" t="str">
        <x:v>Financials</x:v>
      </x:c>
      <x:c r="G9" s="41" t="str">
        <x:v>Renewables</x:v>
      </x:c>
      <x:c r="H9" s="41" t="str">
        <x:v>Consumer Discretionary</x:v>
      </x:c>
      <x:c r="I9" s="41" t="str">
        <x:v>Current return</x:v>
      </x:c>
      <x:c r="J9" s="41" t="str">
        <x:v>Proposed return</x:v>
      </x:c>
      <x:c r="K9" s="41" t="str">
        <x:v>Current index</x:v>
      </x:c>
      <x:c r="L9" s="41" t="str">
        <x:v>Proposed index</x:v>
      </x:c>
      <x:c r="M9" s="38"/>
      <x:c r="N9" s="38"/>
      <x:c r="O9" s="38"/>
      <x:c r="P9" s="38"/>
      <x:c r="Q9" s="38"/>
      <x:c r="R9" s="38"/>
      <x:c r="S9" s="38"/>
      <x:c r="T9" s="38"/>
      <x:c r="U9" s="38"/>
    </x:row>
    <x:row r="10" ht="23" customHeight="1">
      <x:c r="A10" s="38"/>
      <x:c r="B10" s="38" t="str">
        <x:v>2021-01</x:v>
      </x:c>
      <x:c r="C10" s="45" t="n">
        <x:v>-0.011351442996006437</x:v>
      </x:c>
      <x:c r="D10" s="45" t="n">
        <x:v>-0.012981489643014602</x:v>
      </x:c>
      <x:c r="E10" s="45" t="n">
        <x:v>0.008800719054956493</x:v>
      </x:c>
      <x:c r="F10" s="45" t="n">
        <x:v>0.0019295969555439508</x:v>
      </x:c>
      <x:c r="G10" s="45" t="n">
        <x:v>0.0049266388024064925</x:v>
      </x:c>
      <x:c r="H10" s="45" t="n">
        <x:v>0.0051670454545454545</x:v>
      </x:c>
      <x:c r="I10" s="46" t="n">
        <x:f>SUMPRODUCT(C10:H10,$C$25:$H$25)</x:f>
        <x:v>-0.003119628987763629</x:v>
      </x:c>
      <x:c r="J10" s="46" t="n">
        <x:f>SUMPRODUCT(C10:H10,$C$26:$H$26)</x:f>
        <x:v>-0.0038944450382736298</x:v>
      </x:c>
      <x:c r="K10" s="47" t="n">
        <x:f>1*(1+I10)</x:f>
        <x:v>0.9968803710122364</x:v>
      </x:c>
      <x:c r="L10" s="47" t="n">
        <x:f>1*(1+J10)</x:f>
        <x:v>0.9961055549617264</x:v>
      </x:c>
      <x:c r="M10" s="38"/>
      <x:c r="N10" s="38"/>
      <x:c r="O10" s="38"/>
      <x:c r="P10" s="38"/>
      <x:c r="Q10" s="38"/>
      <x:c r="R10" s="38"/>
      <x:c r="S10" s="38"/>
      <x:c r="T10" s="38"/>
      <x:c r="U10" s="38"/>
    </x:row>
    <x:row r="11" ht="23" customHeight="1">
      <x:c r="A11" s="38"/>
      <x:c r="B11" s="38" t="str">
        <x:v>2021-02</x:v>
      </x:c>
      <x:c r="C11" s="45" t="n">
        <x:v>0.019650681783361375</x:v>
      </x:c>
      <x:c r="D11" s="45" t="n">
        <x:v>0.01446055111749411</x:v>
      </x:c>
      <x:c r="E11" s="45" t="n">
        <x:v>0.002121878837494924</x:v>
      </x:c>
      <x:c r="F11" s="45" t="n">
        <x:v>0.009923437296664225</x:v>
      </x:c>
      <x:c r="G11" s="45" t="n">
        <x:v>0.006579225052290523</x:v>
      </x:c>
      <x:c r="H11" s="45" t="n">
        <x:v>0.005008352272727273</x:v>
      </x:c>
      <x:c r="I11" s="46" t="n">
        <x:f>SUMPRODUCT(C11:H11,$C$25:$H$25)</x:f>
        <x:v>0.011868052772664632</x:v>
      </x:c>
      <x:c r="J11" s="46" t="n">
        <x:f>SUMPRODUCT(C11:H11,$C$26:$H$26)</x:f>
        <x:v>0.012759522015623751</x:v>
      </x:c>
      <x:c r="K11" s="47" t="n">
        <x:f>K10*(1+I11)</x:f>
        <x:v>1.0087113998634432</x:v>
      </x:c>
      <x:c r="L11" s="47" t="n">
        <x:f>L10*(1+J11)</x:f>
        <x:v>1.0088153857201456</x:v>
      </x:c>
      <x:c r="M11" s="38"/>
      <x:c r="N11" s="38"/>
      <x:c r="O11" s="38"/>
      <x:c r="P11" s="38"/>
      <x:c r="Q11" s="38"/>
      <x:c r="R11" s="38"/>
      <x:c r="S11" s="38"/>
      <x:c r="T11" s="38"/>
      <x:c r="U11" s="38"/>
    </x:row>
    <x:row r="12" ht="23" customHeight="1">
      <x:c r="A12" s="38"/>
      <x:c r="B12" s="38" t="str">
        <x:v>2021-03</x:v>
      </x:c>
      <x:c r="C12" s="45" t="n">
        <x:v>0.008718314112606481</x:v>
      </x:c>
      <x:c r="D12" s="45" t="n">
        <x:v>0.006564945226917081</x:v>
      </x:c>
      <x:c r="E12" s="45" t="n">
        <x:v>-0.00019557157701622242</x:v>
      </x:c>
      <x:c r="F12" s="45" t="n">
        <x:v>0.014733882977575271</x:v>
      </x:c>
      <x:c r="G12" s="45" t="n">
        <x:v>0.005636853207108008</x:v>
      </x:c>
      <x:c r="H12" s="45" t="n">
        <x:v>0.005250568181818182</x:v>
      </x:c>
      <x:c r="I12" s="46" t="n">
        <x:f>SUMPRODUCT(C12:H12,$C$25:$H$25)</x:f>
        <x:v>0.007033333584484588</x:v>
      </x:c>
      <x:c r="J12" s="46" t="n">
        <x:f>SUMPRODUCT(C12:H12,$C$26:$H$26)</x:f>
        <x:v>0.00819981854130943</x:v>
      </x:c>
      <x:c r="K12" s="47" t="n">
        <x:f>K11*(1+I12)</x:f>
        <x:v>1.0158060036291552</x:v>
      </x:c>
      <x:c r="L12" s="47" t="n">
        <x:f>L11*(1+J12)</x:f>
        <x:v>1.0170874888247319</x:v>
      </x:c>
      <x:c r="M12" s="38"/>
      <x:c r="N12" s="38"/>
      <x:c r="O12" s="38"/>
      <x:c r="P12" s="38"/>
      <x:c r="Q12" s="38"/>
      <x:c r="R12" s="38"/>
      <x:c r="S12" s="38"/>
      <x:c r="T12" s="38"/>
      <x:c r="U12" s="38"/>
    </x:row>
    <x:row r="13" ht="23" customHeight="1">
      <x:c r="A13" s="38"/>
      <x:c r="B13" s="38" t="str">
        <x:v>2021-04</x:v>
      </x:c>
      <x:c r="C13" s="45" t="n">
        <x:v>-0.0018637406446274695</x:v>
      </x:c>
      <x:c r="D13" s="45" t="n">
        <x:v>0.007130681818181657</x:v>
      </x:c>
      <x:c r="E13" s="45" t="n">
        <x:v>0.016451267634694285</x:v>
      </x:c>
      <x:c r="F13" s="45" t="n">
        <x:v>0.01771802325581395</x:v>
      </x:c>
      <x:c r="G13" s="45" t="n">
        <x:v>0.006420502442762716</x:v>
      </x:c>
      <x:c r="H13" s="45" t="n">
        <x:v>0.005192102272727273</x:v>
      </x:c>
      <x:c r="I13" s="46" t="n">
        <x:f>SUMPRODUCT(C13:H13,$C$25:$H$25)</x:f>
        <x:v>0.007266905420331219</x:v>
      </x:c>
      <x:c r="J13" s="46" t="n">
        <x:f>SUMPRODUCT(C13:H13,$C$26:$H$26)</x:f>
        <x:v>0.005260752381944905</x:v>
      </x:c>
      <x:c r="K13" s="47" t="n">
        <x:f>K12*(1+I13)</x:f>
        <x:v>1.0231877697829328</x:v>
      </x:c>
      <x:c r="L13" s="47" t="n">
        <x:f>L12*(1+J13)</x:f>
        <x:v>1.022438134254213</x:v>
      </x:c>
      <x:c r="M13" s="38"/>
      <x:c r="N13" s="38"/>
      <x:c r="O13" s="38"/>
      <x:c r="P13" s="38"/>
      <x:c r="Q13" s="38"/>
      <x:c r="R13" s="38"/>
      <x:c r="S13" s="38"/>
      <x:c r="T13" s="38"/>
      <x:c r="U13" s="38"/>
    </x:row>
    <x:row r="14" ht="23" customHeight="1">
      <x:c r="A14" s="38"/>
      <x:c r="B14" s="38" t="str">
        <x:v>2021-05</x:v>
      </x:c>
      <x:c r="C14" s="45" t="n">
        <x:v>-0.0013620699448999617</x:v>
      </x:c>
      <x:c r="D14" s="45" t="n">
        <x:v>-0.0006343019135364213</x:v>
      </x:c>
      <x:c r="E14" s="45" t="n">
        <x:v>0.0072566744014074215</x:v>
      </x:c>
      <x:c r="F14" s="45" t="n">
        <x:v>-0.004181282846830951</x:v>
      </x:c>
      <x:c r="G14" s="45" t="n">
        <x:v>0.0053244980128224345</x:v>
      </x:c>
      <x:c r="H14" s="45" t="n">
        <x:v>0.005359147727272727</x:v>
      </x:c>
      <x:c r="I14" s="46" t="n">
        <x:f>SUMPRODUCT(C14:H14,$C$25:$H$25)</x:f>
        <x:v>0.0010526798731572717</x:v>
      </x:c>
      <x:c r="J14" s="46" t="n">
        <x:f>SUMPRODUCT(C14:H14,$C$26:$H$26)</x:f>
        <x:v>0.0006662445954402741</x:v>
      </x:c>
      <x:c r="K14" s="47" t="n">
        <x:f>K13*(1+I14)</x:f>
        <x:v>1.0242648589546441</x:v>
      </x:c>
      <x:c r="L14" s="47" t="n">
        <x:f>L13*(1+J14)</x:f>
        <x:v>1.023119328135332</x:v>
      </x:c>
      <x:c r="M14" s="38"/>
      <x:c r="N14" s="38"/>
      <x:c r="O14" s="38"/>
      <x:c r="P14" s="38"/>
      <x:c r="Q14" s="38"/>
      <x:c r="R14" s="38"/>
      <x:c r="S14" s="38"/>
      <x:c r="T14" s="38"/>
      <x:c r="U14" s="38"/>
    </x:row>
    <x:row r="15" ht="23" customHeight="1">
      <x:c r="A15" s="38"/>
      <x:c r="B15" s="38" t="str">
        <x:v>2021-06</x:v>
      </x:c>
      <x:c r="C15" s="45" t="n">
        <x:v>0.008220458486575152</x:v>
      </x:c>
      <x:c r="D15" s="45" t="n">
        <x:v>-0.002145148070275442</x:v>
      </x:c>
      <x:c r="E15" s="45" t="n">
        <x:v>-0.007428286117718845</x:v>
      </x:c>
      <x:c r="F15" s="45" t="n">
        <x:v>0.006448534423994508</x:v>
      </x:c>
      <x:c r="G15" s="45" t="n">
        <x:v>0.006000956524017925</x:v>
      </x:c>
      <x:c r="H15" s="45" t="n">
        <x:v>0.005542897727272727</x:v>
      </x:c>
      <x:c r="I15" s="46" t="n">
        <x:f>SUMPRODUCT(C15:H15,$C$25:$H$25)</x:f>
        <x:v>0.002914251738580822</x:v>
      </x:c>
      <x:c r="J15" s="46" t="n">
        <x:f>SUMPRODUCT(C15:H15,$C$26:$H$26)</x:f>
        <x:v>0.005600100266928176</x:v>
      </x:c>
      <x:c r="K15" s="47" t="n">
        <x:f>K14*(1+I15)</x:f>
        <x:v>1.0272498246006199</x:v>
      </x:c>
      <x:c r="L15" s="47" t="n">
        <x:f>L14*(1+J15)</x:f>
        <x:v>1.0288488989579219</x:v>
      </x:c>
      <x:c r="M15" s="38"/>
      <x:c r="N15" s="38"/>
      <x:c r="O15" s="38"/>
      <x:c r="P15" s="38"/>
      <x:c r="Q15" s="38"/>
      <x:c r="R15" s="38"/>
      <x:c r="S15" s="38"/>
      <x:c r="T15" s="38"/>
      <x:c r="U15" s="38"/>
    </x:row>
    <x:row r="16" ht="23" customHeight="1">
      <x:c r="A16" s="38"/>
      <x:c r="B16" s="38" t="str">
        <x:v>2021-07</x:v>
      </x:c>
      <x:c r="C16" s="45" t="n">
        <x:v>-0.01374786308551457</x:v>
      </x:c>
      <x:c r="D16" s="45" t="n">
        <x:v>-0.009859747671434608</x:v>
      </x:c>
      <x:c r="E16" s="45" t="n">
        <x:v>-0.011758121441636352</x:v>
      </x:c>
      <x:c r="F16" s="45" t="n">
        <x:v>-0.001594061090785419</x:v>
      </x:c>
      <x:c r="G16" s="45" t="n">
        <x:v>0.006219283232597343</x:v>
      </x:c>
      <x:c r="H16" s="45" t="n">
        <x:v>0.005283977272727273</x:v>
      </x:c>
      <x:c r="I16" s="46" t="n">
        <x:f>SUMPRODUCT(C16:H16,$C$25:$H$25)</x:f>
        <x:v>-0.007995320495694276</x:v>
      </x:c>
      <x:c r="J16" s="46" t="n">
        <x:f>SUMPRODUCT(C16:H16,$C$26:$H$26)</x:f>
        <x:v>-0.004399839560847537</x:v>
      </x:c>
      <x:c r="K16" s="47" t="n">
        <x:f>K15*(1+I16)</x:f>
        <x:v>1.019036633023792</x:v>
      </x:c>
      <x:c r="L16" s="47" t="n">
        <x:f>L15*(1+J16)</x:f>
        <x:v>1.0243221288701523</x:v>
      </x:c>
      <x:c r="M16" s="38"/>
      <x:c r="N16" s="38"/>
      <x:c r="O16" s="38"/>
      <x:c r="P16" s="38"/>
      <x:c r="Q16" s="38"/>
      <x:c r="R16" s="38"/>
      <x:c r="S16" s="38"/>
      <x:c r="T16" s="38"/>
      <x:c r="U16" s="38"/>
    </x:row>
    <x:row r="17" ht="23" customHeight="1">
      <x:c r="A17" s="38"/>
      <x:c r="B17" s="38" t="str">
        <x:v>2021-08</x:v>
      </x:c>
      <x:c r="C17" s="45" t="n">
        <x:v>-0.0028979461468476896</x:v>
      </x:c>
      <x:c r="D17" s="45" t="n">
        <x:v>0.002504235512724713</x:v>
      </x:c>
      <x:c r="E17" s="45" t="n">
        <x:v>-0.0011834331154284604</x:v>
      </x:c>
      <x:c r="F17" s="45" t="n">
        <x:v>-0.00114534709434289</x:v>
      </x:c>
      <x:c r="G17" s="45" t="n">
        <x:v>0.005987156709857032</x:v>
      </x:c>
      <x:c r="H17" s="45" t="n">
        <x:v>0.004799545454545455</x:v>
      </x:c>
      <x:c r="I17" s="46" t="n">
        <x:f>SUMPRODUCT(C17:H17,$C$25:$H$25)</x:f>
        <x:v>-0.00020844156801213385</x:v>
      </x:c>
      <x:c r="J17" s="46" t="n">
        <x:f>SUMPRODUCT(C17:H17,$C$26:$H$26)</x:f>
        <x:v>0.0012256763970449644</x:v>
      </x:c>
      <x:c r="K17" s="47" t="n">
        <x:f>K16*(1+I17)</x:f>
        <x:v>1.0188242234301428</x:v>
      </x:c>
      <x:c r="L17" s="47" t="n">
        <x:f>L16*(1+J17)</x:f>
        <x:v>1.0255776163264794</x:v>
      </x:c>
      <x:c r="M17" s="38"/>
      <x:c r="N17" s="38"/>
      <x:c r="O17" s="38"/>
      <x:c r="P17" s="38"/>
      <x:c r="Q17" s="38"/>
      <x:c r="R17" s="38"/>
      <x:c r="S17" s="38"/>
      <x:c r="T17" s="38"/>
      <x:c r="U17" s="38"/>
    </x:row>
    <x:row r="18" ht="23" customHeight="1">
      <x:c r="A18" s="38"/>
      <x:c r="B18" s="38" t="str">
        <x:v>2021-09</x:v>
      </x:c>
      <x:c r="C18" s="45" t="n">
        <x:v>-0.00817047472244448</x:v>
      </x:c>
      <x:c r="D18" s="45" t="n">
        <x:v>-0.00604901745927378</x:v>
      </x:c>
      <x:c r="E18" s="45" t="n">
        <x:v>-0.008485190018586612</x:v>
      </x:c>
      <x:c r="F18" s="45" t="n">
        <x:v>0.000023160616180124653</x:v>
      </x:c>
      <x:c r="G18" s="45" t="n">
        <x:v>0.005910692472782658</x:v>
      </x:c>
      <x:c r="H18" s="45" t="n">
        <x:v>0.005020880681818182</x:v>
      </x:c>
      <x:c r="I18" s="46" t="n">
        <x:f>SUMPRODUCT(C18:H18,$C$25:$H$25)</x:f>
        <x:v>-0.004618469401667763</x:v>
      </x:c>
      <x:c r="J18" s="46" t="n">
        <x:f>SUMPRODUCT(C18:H18,$C$26:$H$26)</x:f>
        <x:v>-0.00173929290339391</x:v>
      </x:c>
      <x:c r="K18" s="47" t="n">
        <x:f>K17*(1+I18)</x:f>
        <x:v>1.0141188149285527</x:v>
      </x:c>
      <x:c r="L18" s="47" t="n">
        <x:f>L17*(1+J18)</x:f>
        <x:v>1.023793836456523</x:v>
      </x:c>
      <x:c r="M18" s="38"/>
      <x:c r="N18" s="38"/>
      <x:c r="O18" s="38"/>
      <x:c r="P18" s="38"/>
      <x:c r="Q18" s="38"/>
      <x:c r="R18" s="38"/>
      <x:c r="S18" s="38"/>
      <x:c r="T18" s="38"/>
      <x:c r="U18" s="38"/>
    </x:row>
    <x:row r="19" ht="23" customHeight="1">
      <x:c r="A19" s="38"/>
      <x:c r="B19" s="38" t="str">
        <x:v>2021-10</x:v>
      </x:c>
      <x:c r="C19" s="45" t="n">
        <x:v>-0.006507434356216373</x:v>
      </x:c>
      <x:c r="D19" s="45" t="n">
        <x:v>0.007862366345958379</x:v>
      </x:c>
      <x:c r="E19" s="45" t="n">
        <x:v>0.019350998156017037</x:v>
      </x:c>
      <x:c r="F19" s="45" t="n">
        <x:v>0.011928806513078146</x:v>
      </x:c>
      <x:c r="G19" s="45" t="n">
        <x:v>0.006495015174305097</x:v>
      </x:c>
      <x:c r="H19" s="45" t="n">
        <x:v>0.005334090909090909</x:v>
      </x:c>
      <x:c r="I19" s="46" t="n">
        <x:f>SUMPRODUCT(C19:H19,$C$25:$H$25)</x:f>
        <x:v>0.005477479598268211</x:v>
      </x:c>
      <x:c r="J19" s="46" t="n">
        <x:f>SUMPRODUCT(C19:H19,$C$26:$H$26)</x:f>
        <x:v>0.002906283001925823</x:v>
      </x:c>
      <x:c r="K19" s="47" t="n">
        <x:f>K18*(1+I19)</x:f>
        <x:v>1.0196736300475437</x:v>
      </x:c>
      <x:c r="L19" s="47" t="n">
        <x:f>L18*(1+J19)</x:f>
        <x:v>1.026769271080893</x:v>
      </x:c>
      <x:c r="M19" s="38"/>
      <x:c r="N19" s="38"/>
      <x:c r="O19" s="38"/>
      <x:c r="P19" s="38"/>
      <x:c r="Q19" s="38"/>
      <x:c r="R19" s="38"/>
      <x:c r="S19" s="38"/>
      <x:c r="T19" s="38"/>
      <x:c r="U19" s="38"/>
    </x:row>
    <x:row r="20" ht="23" customHeight="1">
      <x:c r="A20" s="38"/>
      <x:c r="B20" s="38" t="str">
        <x:v>2021-11</x:v>
      </x:c>
      <x:c r="C20" s="45" t="n">
        <x:v>-0.010721886626395175</x:v>
      </x:c>
      <x:c r="D20" s="45" t="n">
        <x:v>0.004760615769896499</x:v>
      </x:c>
      <x:c r="E20" s="45" t="n">
        <x:v>0.029765517968173612</x:v>
      </x:c>
      <x:c r="F20" s="45" t="n">
        <x:v>0.010010321692757503</x:v>
      </x:c>
      <x:c r="G20" s="45" t="n">
        <x:v>0.006264251385054456</x:v>
      </x:c>
      <x:c r="H20" s="45" t="n">
        <x:v>0.0051670454545454545</x:v>
      </x:c>
      <x:c r="I20" s="46" t="n">
        <x:f>SUMPRODUCT(C20:H20,$C$25:$H$25)</x:f>
        <x:v>0.0053008613050272305</x:v>
      </x:c>
      <x:c r="J20" s="46" t="n">
        <x:f>SUMPRODUCT(C20:H20,$C$26:$H$26)</x:f>
        <x:v>0.0006006079884033988</x:v>
      </x:c>
      <x:c r="K20" s="47" t="n">
        <x:f>K19*(1+I20)</x:f>
        <x:v>1.0250787785368194</x:v>
      </x:c>
      <x:c r="L20" s="47" t="n">
        <x:f>L19*(1+J20)</x:f>
        <x:v>1.0273859569073513</x:v>
      </x:c>
      <x:c r="M20" s="38"/>
      <x:c r="N20" s="38"/>
      <x:c r="O20" s="38"/>
      <x:c r="P20" s="38"/>
      <x:c r="Q20" s="38"/>
      <x:c r="R20" s="38"/>
      <x:c r="S20" s="38"/>
      <x:c r="T20" s="38"/>
      <x:c r="U20" s="38"/>
    </x:row>
    <x:row r="21" ht="23" customHeight="1">
      <x:c r="A21" s="38"/>
      <x:c r="B21" s="38" t="str">
        <x:v>2021-12</x:v>
      </x:c>
      <x:c r="C21" s="45" t="n">
        <x:v>-0.018085677125670555</x:v>
      </x:c>
      <x:c r="D21" s="45" t="n">
        <x:v>0.004521116902731488</x:v>
      </x:c>
      <x:c r="E21" s="45" t="n">
        <x:v>0.020785684903331988</x:v>
      </x:c>
      <x:c r="F21" s="45" t="n">
        <x:v>0.00838061920961974</x:v>
      </x:c>
      <x:c r="G21" s="45" t="n">
        <x:v>0.005822283692185009</x:v>
      </x:c>
      <x:c r="H21" s="45" t="n">
        <x:v>0.005083522727272727</x:v>
      </x:c>
      <x:c r="I21" s="46" t="n">
        <x:f>SUMPRODUCT(C21:H21,$C$25:$H$25)</x:f>
        <x:v>0.0005988149091165246</x:v>
      </x:c>
      <x:c r="J21" s="46" t="n">
        <x:f>SUMPRODUCT(C21:H21,$C$26:$H$26)</x:f>
        <x:v>-0.002393865333112871</x:v>
      </x:c>
      <x:c r="K21" s="47" t="n">
        <x:f>K20*(1+I21)</x:f>
        <x:v>1.0256926109924263</x:v>
      </x:c>
      <x:c r="L21" s="47" t="n">
        <x:f>L20*(1+J21)</x:f>
        <x:v>1.0249265332813837</x:v>
      </x:c>
      <x:c r="M21" s="38"/>
      <x:c r="N21" s="38"/>
      <x:c r="O21" s="38"/>
      <x:c r="P21" s="38"/>
      <x:c r="Q21" s="38"/>
      <x:c r="R21" s="38"/>
      <x:c r="S21" s="38"/>
      <x:c r="T21" s="38"/>
      <x:c r="U21" s="38"/>
    </x:row>
    <x:row r="22" ht="23" customHeight="1">
      <x:c r="A22" s="38"/>
      <x:c r="B22" s="38"/>
      <x:c r="C22" s="38"/>
      <x:c r="D22" s="38"/>
      <x:c r="E22" s="38"/>
      <x:c r="F22" s="38"/>
      <x:c r="G22" s="38"/>
      <x:c r="H22" s="38"/>
      <x:c r="I22" s="38"/>
      <x:c r="J22" s="38"/>
      <x:c r="K22" s="38"/>
      <x:c r="L22" s="38"/>
      <x:c r="M22" s="38"/>
      <x:c r="N22" s="38"/>
      <x:c r="O22" s="38"/>
      <x:c r="P22" s="38"/>
      <x:c r="Q22" s="38"/>
      <x:c r="R22" s="38"/>
      <x:c r="S22" s="38"/>
      <x:c r="T22" s="38"/>
      <x:c r="U22" s="38"/>
    </x:row>
    <x:row r="23" ht="23" customHeight="1">
      <x:c r="A23" s="38"/>
      <x:c r="B23" s="38"/>
      <x:c r="C23" s="38"/>
      <x:c r="D23" s="38"/>
      <x:c r="E23" s="38"/>
      <x:c r="F23" s="38"/>
      <x:c r="G23" s="38"/>
      <x:c r="H23" s="38"/>
      <x:c r="I23" s="38"/>
      <x:c r="J23" s="38"/>
      <x:c r="K23" s="38"/>
      <x:c r="L23" s="38"/>
      <x:c r="M23" s="38"/>
      <x:c r="N23" s="38"/>
      <x:c r="O23" s="38"/>
      <x:c r="P23" s="38"/>
      <x:c r="Q23" s="38"/>
      <x:c r="R23" s="38"/>
      <x:c r="S23" s="38"/>
      <x:c r="T23" s="38"/>
      <x:c r="U23" s="38"/>
    </x:row>
    <x:row r="24" ht="34" customHeight="1">
      <x:c r="A24" s="38"/>
      <x:c r="B24" s="41" t="str">
        <x:v>Allocation</x:v>
      </x:c>
      <x:c r="C24" s="41" t="str">
        <x:v>Technology</x:v>
      </x:c>
      <x:c r="D24" s="41" t="str">
        <x:v>Health Care</x:v>
      </x:c>
      <x:c r="E24" s="41" t="str">
        <x:v>Oil &amp; Gas</x:v>
      </x:c>
      <x:c r="F24" s="41" t="str">
        <x:v>Financials</x:v>
      </x:c>
      <x:c r="G24" s="41" t="str">
        <x:v>Renewables</x:v>
      </x:c>
      <x:c r="H24" s="41" t="str">
        <x:v>Consumer Discretionary</x:v>
      </x:c>
      <x:c r="I24" s="38"/>
      <x:c r="J24" s="38"/>
      <x:c r="K24" s="38"/>
      <x:c r="L24" s="38"/>
      <x:c r="M24" s="38"/>
      <x:c r="N24" s="38"/>
      <x:c r="O24" s="38"/>
      <x:c r="P24" s="38"/>
      <x:c r="Q24" s="38"/>
      <x:c r="R24" s="38"/>
      <x:c r="S24" s="38"/>
      <x:c r="T24" s="38"/>
      <x:c r="U24" s="38"/>
    </x:row>
    <x:row r="25" ht="23" customHeight="1">
      <x:c r="A25" s="38"/>
      <x:c r="B25" s="38" t="str">
        <x:v>Current</x:v>
      </x:c>
      <x:c r="C25" s="45" t="n">
        <x:v>0.35</x:v>
      </x:c>
      <x:c r="D25" s="45" t="n">
        <x:v>0.15</x:v>
      </x:c>
      <x:c r="E25" s="45" t="n">
        <x:v>0.2</x:v>
      </x:c>
      <x:c r="F25" s="45" t="n">
        <x:v>0.15</x:v>
      </x:c>
      <x:c r="G25" s="45" t="n">
        <x:v>0.1</x:v>
      </x:c>
      <x:c r="H25" s="45" t="n">
        <x:v>0.05</x:v>
      </x:c>
      <x:c r="I25" s="38"/>
      <x:c r="J25" s="38"/>
      <x:c r="K25" s="38"/>
      <x:c r="L25" s="38"/>
      <x:c r="M25" s="38"/>
      <x:c r="N25" s="38"/>
      <x:c r="O25" s="38"/>
      <x:c r="P25" s="38"/>
      <x:c r="Q25" s="38"/>
      <x:c r="R25" s="38"/>
      <x:c r="S25" s="38"/>
      <x:c r="T25" s="38"/>
      <x:c r="U25" s="38"/>
    </x:row>
    <x:row r="26" ht="23" customHeight="1">
      <x:c r="A26" s="38"/>
      <x:c r="B26" s="38" t="str">
        <x:v>Proposed</x:v>
      </x:c>
      <x:c r="C26" s="45" t="n">
        <x:v>0.35</x:v>
      </x:c>
      <x:c r="D26" s="45" t="n">
        <x:v>0.15</x:v>
      </x:c>
      <x:c r="E26" s="45" t="n">
        <x:v>0</x:v>
      </x:c>
      <x:c r="F26" s="45" t="n">
        <x:v>0.15</x:v>
      </x:c>
      <x:c r="G26" s="45" t="n">
        <x:v>0.3</x:v>
      </x:c>
      <x:c r="H26" s="45" t="n">
        <x:v>0.05</x:v>
      </x:c>
      <x:c r="I26" s="38"/>
      <x:c r="J26" s="38"/>
      <x:c r="K26" s="38"/>
      <x:c r="L26" s="38"/>
      <x:c r="M26" s="38"/>
      <x:c r="N26" s="38"/>
      <x:c r="O26" s="38"/>
      <x:c r="P26" s="38"/>
      <x:c r="Q26" s="38"/>
      <x:c r="R26" s="38"/>
      <x:c r="S26" s="38"/>
      <x:c r="T26" s="38"/>
      <x:c r="U26" s="38"/>
    </x:row>
    <x:row r="27" ht="23" customHeight="1">
      <x:c r="A27" s="38"/>
      <x:c r="B27" s="38"/>
      <x:c r="C27" s="38"/>
      <x:c r="D27" s="38"/>
      <x:c r="E27" s="38"/>
      <x:c r="F27" s="38"/>
      <x:c r="G27" s="38"/>
      <x:c r="H27" s="38"/>
      <x:c r="I27" s="38"/>
      <x:c r="J27" s="38"/>
      <x:c r="K27" s="38"/>
      <x:c r="L27" s="38"/>
      <x:c r="M27" s="38"/>
      <x:c r="N27" s="38"/>
      <x:c r="O27" s="38"/>
      <x:c r="P27" s="38"/>
      <x:c r="Q27" s="38"/>
      <x:c r="R27" s="38"/>
      <x:c r="S27" s="38"/>
      <x:c r="T27" s="38"/>
      <x:c r="U27" s="38"/>
    </x:row>
    <x:row r="28" ht="23" customHeight="1">
      <x:c r="A28" s="38"/>
      <x:c r="B28" s="38" t="str">
        <x:v>Annual reference rate</x:v>
      </x:c>
      <x:c r="C28" s="48" t="n">
        <x:v>0.015</x:v>
      </x:c>
      <x:c r="D28" s="38"/>
      <x:c r="E28" s="38"/>
      <x:c r="F28" s="38"/>
      <x:c r="G28" s="38"/>
      <x:c r="H28" s="38"/>
      <x:c r="I28" s="38"/>
      <x:c r="J28" s="38"/>
      <x:c r="K28" s="38"/>
      <x:c r="L28" s="38"/>
      <x:c r="M28" s="38"/>
      <x:c r="N28" s="38"/>
      <x:c r="O28" s="38"/>
      <x:c r="P28" s="38"/>
      <x:c r="Q28" s="38"/>
      <x:c r="R28" s="38"/>
      <x:c r="S28" s="38"/>
      <x:c r="T28" s="38"/>
      <x:c r="U28" s="38"/>
    </x:row>
    <x:row r="29" ht="23" customHeight="1">
      <x:c r="A29" s="38"/>
      <x:c r="B29" s="38" t="str">
        <x:v>Assumed annual risk-free</x:v>
      </x:c>
      <x:c r="C29" s="48" t="n">
        <x:v>0.001</x:v>
      </x:c>
      <x:c r="D29" s="38"/>
      <x:c r="E29" s="38"/>
      <x:c r="F29" s="38"/>
      <x:c r="G29" s="38"/>
      <x:c r="H29" s="38"/>
      <x:c r="I29" s="38"/>
      <x:c r="J29" s="38"/>
      <x:c r="K29" s="38"/>
      <x:c r="L29" s="38"/>
      <x:c r="M29" s="38"/>
      <x:c r="N29" s="38"/>
      <x:c r="O29" s="38"/>
      <x:c r="P29" s="38"/>
      <x:c r="Q29" s="38"/>
      <x:c r="R29" s="38"/>
      <x:c r="S29" s="38"/>
      <x:c r="T29" s="38"/>
      <x:c r="U29" s="38"/>
    </x:row>
    <x:row r="30" ht="23" customHeight="1">
      <x:c r="A30" s="38"/>
      <x:c r="B30" s="38"/>
      <x:c r="C30" s="38"/>
      <x:c r="D30" s="38"/>
      <x:c r="E30" s="38"/>
      <x:c r="F30" s="38"/>
      <x:c r="G30" s="38"/>
      <x:c r="H30" s="38"/>
      <x:c r="I30" s="38"/>
      <x:c r="J30" s="38"/>
      <x:c r="K30" s="38"/>
      <x:c r="L30" s="38"/>
      <x:c r="M30" s="38"/>
      <x:c r="N30" s="38"/>
      <x:c r="O30" s="38"/>
      <x:c r="P30" s="38"/>
      <x:c r="Q30" s="38"/>
      <x:c r="R30" s="38"/>
      <x:c r="S30" s="38"/>
      <x:c r="T30" s="38"/>
      <x:c r="U30" s="38"/>
    </x:row>
    <x:row r="31" ht="23" customHeight="1">
      <x:c r="A31" s="38"/>
      <x:c r="B31" s="38"/>
      <x:c r="C31" s="38"/>
      <x:c r="D31" s="38"/>
      <x:c r="E31" s="38"/>
      <x:c r="F31" s="38"/>
      <x:c r="G31" s="38"/>
      <x:c r="H31" s="38"/>
      <x:c r="I31" s="38"/>
      <x:c r="J31" s="38"/>
      <x:c r="K31" s="38"/>
      <x:c r="L31" s="38"/>
      <x:c r="M31" s="38"/>
      <x:c r="N31" s="38"/>
      <x:c r="O31" s="38"/>
      <x:c r="P31" s="38"/>
      <x:c r="Q31" s="38"/>
      <x:c r="R31" s="38"/>
      <x:c r="S31" s="38"/>
      <x:c r="T31" s="38"/>
      <x:c r="U31" s="38"/>
    </x:row>
    <x:row r="32" ht="34" customHeight="1">
      <x:c r="A32" s="38"/>
      <x:c r="B32" s="41" t="str">
        <x:v>Measure</x:v>
      </x:c>
      <x:c r="C32" s="41" t="str">
        <x:v>Current</x:v>
      </x:c>
      <x:c r="D32" s="41" t="str">
        <x:v>Proposed</x:v>
      </x:c>
      <x:c r="E32" s="41" t="str">
        <x:v>Difference</x:v>
      </x:c>
      <x:c r="F32" s="38"/>
      <x:c r="G32" s="38"/>
      <x:c r="H32" s="38"/>
      <x:c r="I32" s="38"/>
      <x:c r="J32" s="38"/>
      <x:c r="K32" s="38"/>
      <x:c r="L32" s="38"/>
      <x:c r="M32" s="38"/>
      <x:c r="N32" s="38"/>
      <x:c r="O32" s="38"/>
      <x:c r="P32" s="38"/>
      <x:c r="Q32" s="38"/>
      <x:c r="R32" s="38"/>
      <x:c r="S32" s="38"/>
      <x:c r="T32" s="38"/>
      <x:c r="U32" s="38"/>
    </x:row>
    <x:row r="33" ht="38" customHeight="1">
      <x:c r="A33" s="38"/>
      <x:c r="B33" s="49" t="str">
        <x:v>Monthly-rebalanced annual return</x:v>
      </x:c>
      <x:c r="C33" s="46" t="n">
        <x:f>K21-1</x:f>
        <x:v>0.025692610992426257</x:v>
      </x:c>
      <x:c r="D33" s="46" t="n">
        <x:f>L21-1</x:f>
        <x:v>0.024926533281383723</x:v>
      </x:c>
      <x:c r="E33" s="46" t="n">
        <x:f>D33-C33</x:f>
        <x:v>-0.0007660777110425343</x:v>
      </x:c>
      <x:c r="F33" s="38"/>
      <x:c r="G33" s="38"/>
      <x:c r="H33" s="38"/>
      <x:c r="I33" s="38"/>
      <x:c r="J33" s="38"/>
      <x:c r="K33" s="38"/>
      <x:c r="L33" s="38"/>
      <x:c r="M33" s="38"/>
      <x:c r="N33" s="38"/>
      <x:c r="O33" s="38"/>
      <x:c r="P33" s="38"/>
      <x:c r="Q33" s="38"/>
      <x:c r="R33" s="38"/>
      <x:c r="S33" s="38"/>
      <x:c r="T33" s="38"/>
      <x:c r="U33" s="38"/>
    </x:row>
    <x:row r="34" ht="38" customHeight="1">
      <x:c r="A34" s="38"/>
      <x:c r="B34" s="49" t="str">
        <x:v>Monthly sample volatility</x:v>
      </x:c>
      <x:c r="C34" s="46" t="n">
        <x:f>STDEV.S(I10:I21)</x:f>
        <x:v>0.005654693837120265</x:v>
      </x:c>
      <x:c r="D34" s="46" t="n">
        <x:f>STDEV.S(J10:J21)</x:f>
        <x:v>0.005151301669845667</x:v>
      </x:c>
      <x:c r="E34" s="46" t="n">
        <x:f>D34-C34</x:f>
        <x:v>-0.0005033921672745979</x:v>
      </x:c>
      <x:c r="F34" s="38"/>
      <x:c r="G34" s="38"/>
      <x:c r="H34" s="38"/>
      <x:c r="I34" s="38"/>
      <x:c r="J34" s="38"/>
      <x:c r="K34" s="38"/>
      <x:c r="L34" s="38"/>
      <x:c r="M34" s="38"/>
      <x:c r="N34" s="38"/>
      <x:c r="O34" s="38"/>
      <x:c r="P34" s="38"/>
      <x:c r="Q34" s="38"/>
      <x:c r="R34" s="38"/>
      <x:c r="S34" s="38"/>
      <x:c r="T34" s="38"/>
      <x:c r="U34" s="38"/>
    </x:row>
    <x:row r="35" ht="38" customHeight="1">
      <x:c r="A35" s="38"/>
      <x:c r="B35" s="49" t="str">
        <x:v>Annualized volatility</x:v>
      </x:c>
      <x:c r="C35" s="46" t="n">
        <x:f>C34*SQRT(12)</x:f>
        <x:v>0.019588434054277817</x:v>
      </x:c>
      <x:c r="D35" s="46" t="n">
        <x:f>D34*SQRT(12)</x:f>
        <x:v>0.01784463243457419</x:v>
      </x:c>
      <x:c r="E35" s="46" t="n">
        <x:f>D35-C35</x:f>
        <x:v>-0.0017438016197036284</x:v>
      </x:c>
      <x:c r="F35" s="38"/>
      <x:c r="G35" s="38"/>
      <x:c r="H35" s="38"/>
      <x:c r="I35" s="38"/>
      <x:c r="J35" s="38"/>
      <x:c r="K35" s="38"/>
      <x:c r="L35" s="38"/>
      <x:c r="M35" s="38"/>
      <x:c r="N35" s="38"/>
      <x:c r="O35" s="38"/>
      <x:c r="P35" s="38"/>
      <x:c r="Q35" s="38"/>
      <x:c r="R35" s="38"/>
      <x:c r="S35" s="38"/>
      <x:c r="T35" s="38"/>
      <x:c r="U35" s="38"/>
    </x:row>
    <x:row r="36" ht="38" customHeight="1">
      <x:c r="A36" s="38"/>
      <x:c r="B36" s="49" t="str">
        <x:v>Annualized Sharpe (assumed RF)</x:v>
      </x:c>
      <x:c r="C36" s="50" t="n">
        <x:f>(AVERAGE(I10:I21)-((1+$C$29)^(1/12)-1))/C34*SQRT(12)</x:f>
        <x:v>1.2543614625411177</x:v>
      </x:c>
      <x:c r="D36" s="50" t="n">
        <x:f>(AVERAGE(J10:J21)-((1+$C$29)^(1/12)-1))/D34*SQRT(12)</x:f>
        <x:v>1.3332872212944502</x:v>
      </x:c>
      <x:c r="E36" s="50" t="n">
        <x:f>D36-C36</x:f>
        <x:v>0.07892575875333252</x:v>
      </x:c>
      <x:c r="F36" s="38"/>
      <x:c r="G36" s="38"/>
      <x:c r="H36" s="38"/>
      <x:c r="I36" s="38"/>
      <x:c r="J36" s="38"/>
      <x:c r="K36" s="38"/>
      <x:c r="L36" s="38"/>
      <x:c r="M36" s="38"/>
      <x:c r="N36" s="38"/>
      <x:c r="O36" s="38"/>
      <x:c r="P36" s="38"/>
      <x:c r="Q36" s="38"/>
      <x:c r="R36" s="38"/>
      <x:c r="S36" s="38"/>
      <x:c r="T36" s="38"/>
      <x:c r="U36" s="38"/>
    </x:row>
    <x:row r="37" ht="23" customHeight="1">
      <x:c r="A37" s="38"/>
      <x:c r="B37" s="38"/>
      <x:c r="C37" s="38"/>
      <x:c r="D37" s="38"/>
      <x:c r="E37" s="38"/>
      <x:c r="F37" s="38"/>
      <x:c r="G37" s="38"/>
      <x:c r="H37" s="38"/>
      <x:c r="I37" s="38"/>
      <x:c r="J37" s="38"/>
      <x:c r="K37" s="38"/>
      <x:c r="L37" s="38"/>
      <x:c r="M37" s="38"/>
      <x:c r="N37" s="38"/>
      <x:c r="O37" s="38"/>
      <x:c r="P37" s="38"/>
      <x:c r="Q37" s="38"/>
      <x:c r="R37" s="38"/>
      <x:c r="S37" s="38"/>
      <x:c r="T37" s="38"/>
      <x:c r="U37" s="38"/>
    </x:row>
    <x:row r="38" ht="23" customHeight="1">
      <x:c r="A38" s="38"/>
      <x:c r="B38" s="38"/>
      <x:c r="C38" s="38"/>
      <x:c r="D38" s="38"/>
      <x:c r="E38" s="38"/>
      <x:c r="F38" s="38"/>
      <x:c r="G38" s="38"/>
      <x:c r="H38" s="38"/>
      <x:c r="I38" s="38"/>
      <x:c r="J38" s="38"/>
      <x:c r="K38" s="38"/>
      <x:c r="L38" s="38"/>
      <x:c r="M38" s="38"/>
      <x:c r="N38" s="38"/>
      <x:c r="O38" s="38"/>
      <x:c r="P38" s="38"/>
      <x:c r="Q38" s="38"/>
      <x:c r="R38" s="38"/>
      <x:c r="S38" s="38"/>
      <x:c r="T38" s="38"/>
      <x:c r="U38" s="38"/>
    </x:row>
    <x:row r="39" ht="54" customHeight="1">
      <x:c r="A39" s="38"/>
      <x:c r="B39" s="40" t="str">
        <x:v>Return differences reflect monthly rebalancing. The original template instead weights full-year compounded sector returns. Its benchmark-relative ratio also mixes annual returns with monthly volatility. Preserve that exercise separately.</x:v>
      </x:c>
      <x:c r="C39" s="40"/>
      <x:c r="D39" s="40"/>
      <x:c r="E39" s="40"/>
      <x:c r="F39" s="40"/>
      <x:c r="G39" s="40"/>
      <x:c r="H39" s="40"/>
      <x:c r="I39" s="40"/>
      <x:c r="J39" s="40"/>
      <x:c r="K39" s="40"/>
      <x:c r="L39" s="40"/>
      <x:c r="M39" s="38"/>
      <x:c r="N39" s="38"/>
      <x:c r="O39" s="38"/>
      <x:c r="P39" s="38"/>
      <x:c r="Q39" s="38"/>
      <x:c r="R39" s="38"/>
      <x:c r="S39" s="38"/>
      <x:c r="T39" s="38"/>
      <x:c r="U39" s="38"/>
    </x:row>
    <x:row r="40" ht="23" customHeight="1">
      <x:c r="A40" s="38"/>
      <x:c r="B40" s="38"/>
      <x:c r="C40" s="38"/>
      <x:c r="D40" s="38"/>
      <x:c r="E40" s="38"/>
      <x:c r="F40" s="38"/>
      <x:c r="G40" s="38"/>
      <x:c r="H40" s="38"/>
      <x:c r="I40" s="38"/>
      <x:c r="J40" s="38"/>
      <x:c r="K40" s="38"/>
      <x:c r="L40" s="38"/>
      <x:c r="M40" s="38"/>
      <x:c r="N40" s="38"/>
      <x:c r="O40" s="38"/>
      <x:c r="P40" s="38"/>
      <x:c r="Q40" s="38"/>
      <x:c r="R40" s="38"/>
      <x:c r="S40" s="38"/>
      <x:c r="T40" s="38"/>
      <x:c r="U40" s="38"/>
    </x:row>
    <x:row r="41" ht="54" customHeight="1">
      <x:c r="A41" s="38"/>
      <x:c r="B41" s="40" t="str">
        <x:v>The 1.50% reference is an assumed constant annual hurdle, not an observed market-index series or risk-free rate. Sharpe uses a separate 0.10% annual risk-free assumption. Twelve observations provide only an illustrative risk estimate.</x:v>
      </x:c>
      <x:c r="C41" s="40"/>
      <x:c r="D41" s="40"/>
      <x:c r="E41" s="40"/>
      <x:c r="F41" s="40"/>
      <x:c r="G41" s="40"/>
      <x:c r="H41" s="40"/>
      <x:c r="I41" s="40"/>
      <x:c r="J41" s="40"/>
      <x:c r="K41" s="40"/>
      <x:c r="L41" s="40"/>
      <x:c r="M41" s="38"/>
      <x:c r="N41" s="38"/>
      <x:c r="O41" s="38"/>
      <x:c r="P41" s="38"/>
      <x:c r="Q41" s="38"/>
      <x:c r="R41" s="38"/>
      <x:c r="S41" s="38"/>
      <x:c r="T41" s="38"/>
      <x:c r="U41" s="38"/>
    </x:row>
    <x:row r="42" ht="23" customHeight="1">
      <x:c r="A42" s="38"/>
      <x:c r="B42" s="38"/>
      <x:c r="C42" s="38"/>
      <x:c r="D42" s="38"/>
      <x:c r="E42" s="38"/>
      <x:c r="F42" s="38"/>
      <x:c r="G42" s="38"/>
      <x:c r="H42" s="38"/>
      <x:c r="I42" s="38"/>
      <x:c r="J42" s="38"/>
      <x:c r="K42" s="38"/>
      <x:c r="L42" s="38"/>
      <x:c r="M42" s="38"/>
      <x:c r="N42" s="38"/>
      <x:c r="O42" s="38"/>
      <x:c r="P42" s="38"/>
      <x:c r="Q42" s="38"/>
      <x:c r="R42" s="38"/>
      <x:c r="S42" s="38"/>
      <x:c r="T42" s="38"/>
      <x:c r="U42" s="38"/>
    </x:row>
    <x:row r="43" ht="23" customHeight="1">
      <x:c r="A43" s="38"/>
      <x:c r="B43" s="38"/>
      <x:c r="C43" s="38"/>
      <x:c r="D43" s="38"/>
      <x:c r="E43" s="38"/>
      <x:c r="F43" s="38"/>
      <x:c r="G43" s="38"/>
      <x:c r="H43" s="38"/>
      <x:c r="I43" s="38"/>
      <x:c r="J43" s="38"/>
      <x:c r="K43" s="38"/>
      <x:c r="L43" s="38"/>
      <x:c r="M43" s="38"/>
      <x:c r="N43" s="38"/>
      <x:c r="O43" s="38"/>
      <x:c r="P43" s="38"/>
      <x:c r="Q43" s="38"/>
      <x:c r="R43" s="38"/>
      <x:c r="S43" s="38"/>
      <x:c r="T43" s="38"/>
      <x:c r="U43" s="38"/>
    </x:row>
    <x:row r="44" ht="23" customHeight="1">
      <x:c r="A44" s="38"/>
      <x:c r="B44" s="38"/>
      <x:c r="C44" s="38"/>
      <x:c r="D44" s="38"/>
      <x:c r="E44" s="38"/>
      <x:c r="F44" s="38"/>
      <x:c r="G44" s="38"/>
      <x:c r="H44" s="38"/>
      <x:c r="I44" s="38"/>
      <x:c r="J44" s="38"/>
      <x:c r="K44" s="38"/>
      <x:c r="L44" s="38"/>
      <x:c r="M44" s="38"/>
      <x:c r="N44" s="38"/>
      <x:c r="O44" s="38"/>
      <x:c r="P44" s="38"/>
      <x:c r="Q44" s="38"/>
      <x:c r="R44" s="38"/>
      <x:c r="S44" s="38"/>
      <x:c r="T44" s="38"/>
      <x:c r="U44" s="38"/>
    </x:row>
    <x:row r="45" ht="23" customHeight="1">
      <x:c r="A45" s="38"/>
      <x:c r="B45" s="38"/>
      <x:c r="C45" s="38"/>
      <x:c r="D45" s="38"/>
      <x:c r="E45" s="38"/>
      <x:c r="F45" s="38"/>
      <x:c r="G45" s="38"/>
      <x:c r="H45" s="38"/>
      <x:c r="I45" s="38"/>
      <x:c r="J45" s="38"/>
      <x:c r="K45" s="38"/>
      <x:c r="L45" s="38"/>
      <x:c r="M45" s="38"/>
      <x:c r="N45" s="38"/>
      <x:c r="O45" s="38"/>
      <x:c r="P45" s="38"/>
      <x:c r="Q45" s="38"/>
      <x:c r="R45" s="38"/>
      <x:c r="S45" s="38"/>
      <x:c r="T45" s="38"/>
      <x:c r="U45" s="38"/>
    </x:row>
    <x:row r="46" ht="23" customHeight="1">
      <x:c r="A46" s="38"/>
      <x:c r="B46" s="38"/>
      <x:c r="C46" s="38"/>
      <x:c r="D46" s="38"/>
      <x:c r="E46" s="38"/>
      <x:c r="F46" s="38"/>
      <x:c r="G46" s="38"/>
      <x:c r="H46" s="38"/>
      <x:c r="I46" s="38"/>
      <x:c r="J46" s="38"/>
      <x:c r="K46" s="38"/>
      <x:c r="L46" s="38"/>
      <x:c r="M46" s="38"/>
      <x:c r="N46" s="38"/>
      <x:c r="O46" s="38"/>
      <x:c r="P46" s="38"/>
      <x:c r="Q46" s="38"/>
      <x:c r="R46" s="38"/>
      <x:c r="S46" s="38"/>
      <x:c r="T46" s="38"/>
      <x:c r="U46" s="38"/>
    </x:row>
    <x:row r="47" ht="23" customHeight="1">
      <x:c r="A47" s="38"/>
      <x:c r="B47" s="38"/>
      <x:c r="C47" s="38"/>
      <x:c r="D47" s="38"/>
      <x:c r="E47" s="38"/>
      <x:c r="F47" s="38"/>
      <x:c r="G47" s="38"/>
      <x:c r="H47" s="38"/>
      <x:c r="I47" s="38"/>
      <x:c r="J47" s="38"/>
      <x:c r="K47" s="38"/>
      <x:c r="L47" s="38"/>
      <x:c r="M47" s="38"/>
      <x:c r="N47" s="38"/>
      <x:c r="O47" s="38"/>
      <x:c r="P47" s="38"/>
      <x:c r="Q47" s="38"/>
      <x:c r="R47" s="38"/>
      <x:c r="S47" s="38"/>
      <x:c r="T47" s="38"/>
      <x:c r="U47" s="38"/>
    </x:row>
    <x:row r="48" ht="23" customHeight="1">
      <x:c r="A48" s="38"/>
      <x:c r="B48" s="38"/>
      <x:c r="C48" s="38"/>
      <x:c r="D48" s="38"/>
      <x:c r="E48" s="38"/>
      <x:c r="F48" s="38"/>
      <x:c r="G48" s="38"/>
      <x:c r="H48" s="38"/>
      <x:c r="I48" s="38"/>
      <x:c r="J48" s="38"/>
      <x:c r="K48" s="38"/>
      <x:c r="L48" s="38"/>
      <x:c r="M48" s="38"/>
      <x:c r="N48" s="38"/>
      <x:c r="O48" s="38"/>
      <x:c r="P48" s="38"/>
      <x:c r="Q48" s="38"/>
      <x:c r="R48" s="38"/>
      <x:c r="S48" s="38"/>
      <x:c r="T48" s="38"/>
      <x:c r="U48" s="38"/>
    </x:row>
    <x:row r="49" ht="23" customHeight="1">
      <x:c r="A49" s="38"/>
      <x:c r="B49" s="38"/>
      <x:c r="C49" s="38"/>
      <x:c r="D49" s="38"/>
      <x:c r="E49" s="38"/>
      <x:c r="F49" s="38"/>
      <x:c r="G49" s="38"/>
      <x:c r="H49" s="38"/>
      <x:c r="I49" s="38"/>
      <x:c r="J49" s="38"/>
      <x:c r="K49" s="38"/>
      <x:c r="L49" s="38"/>
      <x:c r="M49" s="38"/>
      <x:c r="N49" s="38"/>
      <x:c r="O49" s="38"/>
      <x:c r="P49" s="38"/>
      <x:c r="Q49" s="38"/>
      <x:c r="R49" s="38"/>
      <x:c r="S49" s="38"/>
      <x:c r="T49" s="38"/>
      <x:c r="U49" s="38"/>
    </x:row>
    <x:row r="50" ht="23" customHeight="1">
      <x:c r="A50" s="38"/>
      <x:c r="B50" s="38"/>
      <x:c r="C50" s="38"/>
      <x:c r="D50" s="38"/>
      <x:c r="E50" s="38"/>
      <x:c r="F50" s="38"/>
      <x:c r="G50" s="38"/>
      <x:c r="H50" s="38"/>
      <x:c r="I50" s="38"/>
      <x:c r="J50" s="38"/>
      <x:c r="K50" s="38"/>
      <x:c r="L50" s="38"/>
      <x:c r="M50" s="38"/>
      <x:c r="N50" s="38"/>
      <x:c r="O50" s="38"/>
      <x:c r="P50" s="38"/>
      <x:c r="Q50" s="38"/>
      <x:c r="R50" s="38"/>
      <x:c r="S50" s="38"/>
      <x:c r="T50" s="38"/>
      <x:c r="U50" s="38"/>
    </x:row>
    <x:row r="51" ht="23" customHeight="1">
      <x:c r="A51" s="38"/>
      <x:c r="B51" s="38"/>
      <x:c r="C51" s="38"/>
      <x:c r="D51" s="38"/>
      <x:c r="E51" s="38"/>
      <x:c r="F51" s="38"/>
      <x:c r="G51" s="38"/>
      <x:c r="H51" s="38"/>
      <x:c r="I51" s="38"/>
      <x:c r="J51" s="38"/>
      <x:c r="K51" s="38"/>
      <x:c r="L51" s="38"/>
      <x:c r="M51" s="38"/>
      <x:c r="N51" s="38"/>
      <x:c r="O51" s="38"/>
      <x:c r="P51" s="38"/>
      <x:c r="Q51" s="38"/>
      <x:c r="R51" s="38"/>
      <x:c r="S51" s="38"/>
      <x:c r="T51" s="38"/>
      <x:c r="U51" s="38"/>
    </x:row>
    <x:row r="52" ht="23" customHeight="1">
      <x:c r="A52" s="38"/>
      <x:c r="B52" s="38"/>
      <x:c r="C52" s="38"/>
      <x:c r="D52" s="38"/>
      <x:c r="E52" s="38"/>
      <x:c r="F52" s="38"/>
      <x:c r="G52" s="38"/>
      <x:c r="H52" s="38"/>
      <x:c r="I52" s="38"/>
      <x:c r="J52" s="38"/>
      <x:c r="K52" s="38"/>
      <x:c r="L52" s="38"/>
      <x:c r="M52" s="38"/>
      <x:c r="N52" s="38"/>
      <x:c r="O52" s="38"/>
      <x:c r="P52" s="38"/>
      <x:c r="Q52" s="38"/>
      <x:c r="R52" s="38"/>
      <x:c r="S52" s="38"/>
      <x:c r="T52" s="38"/>
      <x:c r="U52" s="38"/>
    </x:row>
    <x:row r="53" ht="23" customHeight="1">
      <x:c r="A53" s="38"/>
      <x:c r="B53" s="38"/>
      <x:c r="C53" s="38"/>
      <x:c r="D53" s="38"/>
      <x:c r="E53" s="38"/>
      <x:c r="F53" s="38"/>
      <x:c r="G53" s="38"/>
      <x:c r="H53" s="38"/>
      <x:c r="I53" s="38"/>
      <x:c r="J53" s="38"/>
      <x:c r="K53" s="38"/>
      <x:c r="L53" s="38"/>
      <x:c r="M53" s="38"/>
      <x:c r="N53" s="38"/>
      <x:c r="O53" s="38"/>
      <x:c r="P53" s="38"/>
      <x:c r="Q53" s="38"/>
      <x:c r="R53" s="38"/>
      <x:c r="S53" s="38"/>
      <x:c r="T53" s="38"/>
      <x:c r="U53" s="38"/>
    </x:row>
    <x:row r="54" ht="23" customHeight="1">
      <x:c r="A54" s="38"/>
      <x:c r="B54" s="38"/>
      <x:c r="C54" s="38"/>
      <x:c r="D54" s="38"/>
      <x:c r="E54" s="38"/>
      <x:c r="F54" s="38"/>
      <x:c r="G54" s="38"/>
      <x:c r="H54" s="38"/>
      <x:c r="I54" s="38"/>
      <x:c r="J54" s="38"/>
      <x:c r="K54" s="38"/>
      <x:c r="L54" s="38"/>
      <x:c r="M54" s="38"/>
      <x:c r="N54" s="38"/>
      <x:c r="O54" s="38"/>
      <x:c r="P54" s="38"/>
      <x:c r="Q54" s="38"/>
      <x:c r="R54" s="38"/>
      <x:c r="S54" s="38"/>
      <x:c r="T54" s="38"/>
      <x:c r="U54" s="38"/>
    </x:row>
    <x:row r="55" ht="23" customHeight="1">
      <x:c r="A55" s="38"/>
      <x:c r="B55" s="38"/>
      <x:c r="C55" s="38"/>
      <x:c r="D55" s="38"/>
      <x:c r="E55" s="38"/>
      <x:c r="F55" s="38"/>
      <x:c r="G55" s="38"/>
      <x:c r="H55" s="38"/>
      <x:c r="I55" s="38"/>
      <x:c r="J55" s="38"/>
      <x:c r="K55" s="38"/>
      <x:c r="L55" s="38"/>
      <x:c r="M55" s="38"/>
      <x:c r="N55" s="38"/>
      <x:c r="O55" s="38"/>
      <x:c r="P55" s="38"/>
      <x:c r="Q55" s="38"/>
      <x:c r="R55" s="38"/>
      <x:c r="S55" s="38"/>
      <x:c r="T55" s="38"/>
      <x:c r="U55" s="38"/>
    </x:row>
    <x:row r="56" ht="23" customHeight="1">
      <x:c r="A56" s="38"/>
      <x:c r="B56" s="38"/>
      <x:c r="C56" s="38"/>
      <x:c r="D56" s="38"/>
      <x:c r="E56" s="38"/>
      <x:c r="F56" s="38"/>
      <x:c r="G56" s="38"/>
      <x:c r="H56" s="38"/>
      <x:c r="I56" s="38"/>
      <x:c r="J56" s="38"/>
      <x:c r="K56" s="38"/>
      <x:c r="L56" s="38"/>
      <x:c r="M56" s="38"/>
      <x:c r="N56" s="38"/>
      <x:c r="O56" s="38"/>
      <x:c r="P56" s="38"/>
      <x:c r="Q56" s="38"/>
      <x:c r="R56" s="38"/>
      <x:c r="S56" s="38"/>
      <x:c r="T56" s="38"/>
      <x:c r="U56" s="38"/>
    </x:row>
    <x:row r="57" ht="23" customHeight="1">
      <x:c r="A57" s="38"/>
      <x:c r="B57" s="38"/>
      <x:c r="C57" s="38"/>
      <x:c r="D57" s="38"/>
      <x:c r="E57" s="38"/>
      <x:c r="F57" s="38"/>
      <x:c r="G57" s="38"/>
      <x:c r="H57" s="38"/>
      <x:c r="I57" s="38"/>
      <x:c r="J57" s="38"/>
      <x:c r="K57" s="38"/>
      <x:c r="L57" s="38"/>
      <x:c r="M57" s="38"/>
      <x:c r="N57" s="38"/>
      <x:c r="O57" s="38"/>
      <x:c r="P57" s="38"/>
      <x:c r="Q57" s="38"/>
      <x:c r="R57" s="38"/>
      <x:c r="S57" s="38"/>
      <x:c r="T57" s="38"/>
      <x:c r="U57" s="38"/>
    </x:row>
    <x:row r="58" ht="23" customHeight="1">
      <x:c r="A58" s="38"/>
      <x:c r="B58" s="38"/>
      <x:c r="C58" s="38"/>
      <x:c r="D58" s="38"/>
      <x:c r="E58" s="38"/>
      <x:c r="F58" s="38"/>
      <x:c r="G58" s="38"/>
      <x:c r="H58" s="38"/>
      <x:c r="I58" s="38"/>
      <x:c r="J58" s="38"/>
      <x:c r="K58" s="38"/>
      <x:c r="L58" s="38"/>
      <x:c r="M58" s="38"/>
      <x:c r="N58" s="38"/>
      <x:c r="O58" s="38"/>
      <x:c r="P58" s="38"/>
      <x:c r="Q58" s="38"/>
      <x:c r="R58" s="38"/>
      <x:c r="S58" s="38"/>
      <x:c r="T58" s="38"/>
      <x:c r="U58" s="38"/>
    </x:row>
    <x:row r="59" ht="23" customHeight="1">
      <x:c r="A59" s="38"/>
      <x:c r="B59" s="38"/>
      <x:c r="C59" s="38"/>
      <x:c r="D59" s="38"/>
      <x:c r="E59" s="38"/>
      <x:c r="F59" s="38"/>
      <x:c r="G59" s="38"/>
      <x:c r="H59" s="38"/>
      <x:c r="I59" s="38"/>
      <x:c r="J59" s="38"/>
      <x:c r="K59" s="38"/>
      <x:c r="L59" s="38"/>
      <x:c r="M59" s="38"/>
      <x:c r="N59" s="38"/>
      <x:c r="O59" s="38"/>
      <x:c r="P59" s="38"/>
      <x:c r="Q59" s="38"/>
      <x:c r="R59" s="38"/>
      <x:c r="S59" s="38"/>
      <x:c r="T59" s="38"/>
      <x:c r="U59" s="38"/>
    </x:row>
    <x:row r="60" ht="23" customHeight="1">
      <x:c r="A60" s="38"/>
      <x:c r="B60" s="38"/>
      <x:c r="C60" s="38"/>
      <x:c r="D60" s="38"/>
      <x:c r="E60" s="38"/>
      <x:c r="F60" s="38"/>
      <x:c r="G60" s="38"/>
      <x:c r="H60" s="38"/>
      <x:c r="I60" s="38"/>
      <x:c r="J60" s="38"/>
      <x:c r="K60" s="38"/>
      <x:c r="L60" s="38"/>
      <x:c r="M60" s="38"/>
      <x:c r="N60" s="38"/>
      <x:c r="O60" s="38"/>
      <x:c r="P60" s="38"/>
      <x:c r="Q60" s="38"/>
      <x:c r="R60" s="38"/>
      <x:c r="S60" s="38"/>
      <x:c r="T60" s="38"/>
      <x:c r="U60" s="38"/>
    </x:row>
    <x:row r="61" ht="23" customHeight="1">
      <x:c r="A61" s="38"/>
      <x:c r="B61" s="38"/>
      <x:c r="C61" s="38"/>
      <x:c r="D61" s="38"/>
      <x:c r="E61" s="38"/>
      <x:c r="F61" s="38"/>
      <x:c r="G61" s="38"/>
      <x:c r="H61" s="38"/>
      <x:c r="I61" s="38"/>
      <x:c r="J61" s="38"/>
      <x:c r="K61" s="38"/>
      <x:c r="L61" s="38"/>
      <x:c r="M61" s="38"/>
      <x:c r="N61" s="38"/>
      <x:c r="O61" s="38"/>
      <x:c r="P61" s="38"/>
      <x:c r="Q61" s="38"/>
      <x:c r="R61" s="38"/>
      <x:c r="S61" s="38"/>
      <x:c r="T61" s="38"/>
      <x:c r="U61" s="38"/>
    </x:row>
    <x:row r="62" ht="23" customHeight="1">
      <x:c r="A62" s="38"/>
      <x:c r="B62" s="38"/>
      <x:c r="C62" s="38"/>
      <x:c r="D62" s="38"/>
      <x:c r="E62" s="38"/>
      <x:c r="F62" s="38"/>
      <x:c r="G62" s="38"/>
      <x:c r="H62" s="38"/>
      <x:c r="I62" s="38"/>
      <x:c r="J62" s="38"/>
      <x:c r="K62" s="38"/>
      <x:c r="L62" s="38"/>
      <x:c r="M62" s="38"/>
      <x:c r="N62" s="38"/>
      <x:c r="O62" s="38"/>
      <x:c r="P62" s="38"/>
      <x:c r="Q62" s="38"/>
      <x:c r="R62" s="38"/>
      <x:c r="S62" s="38"/>
      <x:c r="T62" s="38"/>
      <x:c r="U62" s="38"/>
    </x:row>
    <x:row r="63" ht="23" customHeight="1">
      <x:c r="A63" s="38"/>
      <x:c r="B63" s="38"/>
      <x:c r="C63" s="38"/>
      <x:c r="D63" s="38"/>
      <x:c r="E63" s="38"/>
      <x:c r="F63" s="38"/>
      <x:c r="G63" s="38"/>
      <x:c r="H63" s="38"/>
      <x:c r="I63" s="38"/>
      <x:c r="J63" s="38"/>
      <x:c r="K63" s="38"/>
      <x:c r="L63" s="38"/>
      <x:c r="M63" s="38"/>
      <x:c r="N63" s="38"/>
      <x:c r="O63" s="38"/>
      <x:c r="P63" s="38"/>
      <x:c r="Q63" s="38"/>
      <x:c r="R63" s="38"/>
      <x:c r="S63" s="38"/>
      <x:c r="T63" s="38"/>
      <x:c r="U63" s="38"/>
    </x:row>
    <x:row r="64" ht="23" customHeight="1">
      <x:c r="A64" s="38"/>
      <x:c r="B64" s="38"/>
      <x:c r="C64" s="38"/>
      <x:c r="D64" s="38"/>
      <x:c r="E64" s="38"/>
      <x:c r="F64" s="38"/>
      <x:c r="G64" s="38"/>
      <x:c r="H64" s="38"/>
      <x:c r="I64" s="38"/>
      <x:c r="J64" s="38"/>
      <x:c r="K64" s="38"/>
      <x:c r="L64" s="38"/>
      <x:c r="M64" s="38"/>
      <x:c r="N64" s="38"/>
      <x:c r="O64" s="38"/>
      <x:c r="P64" s="38"/>
      <x:c r="Q64" s="38"/>
      <x:c r="R64" s="38"/>
      <x:c r="S64" s="38"/>
      <x:c r="T64" s="38"/>
      <x:c r="U64" s="38"/>
    </x:row>
    <x:row r="65" ht="23" customHeight="1">
      <x:c r="A65" s="38"/>
      <x:c r="B65" s="38"/>
      <x:c r="C65" s="38"/>
      <x:c r="D65" s="38"/>
      <x:c r="E65" s="38"/>
      <x:c r="F65" s="38"/>
      <x:c r="G65" s="38"/>
      <x:c r="H65" s="38"/>
      <x:c r="I65" s="38"/>
      <x:c r="J65" s="38"/>
      <x:c r="K65" s="38"/>
      <x:c r="L65" s="38"/>
      <x:c r="M65" s="38"/>
      <x:c r="N65" s="38"/>
      <x:c r="O65" s="38"/>
      <x:c r="P65" s="38"/>
      <x:c r="Q65" s="38"/>
      <x:c r="R65" s="38"/>
      <x:c r="S65" s="38"/>
      <x:c r="T65" s="38"/>
      <x:c r="U65" s="38"/>
    </x:row>
    <x:row r="66" ht="23" customHeight="1">
      <x:c r="A66" s="38"/>
      <x:c r="B66" s="38"/>
      <x:c r="C66" s="38"/>
      <x:c r="D66" s="38"/>
      <x:c r="E66" s="38"/>
      <x:c r="F66" s="38"/>
      <x:c r="G66" s="38"/>
      <x:c r="H66" s="38"/>
      <x:c r="I66" s="38"/>
      <x:c r="J66" s="38"/>
      <x:c r="K66" s="38"/>
      <x:c r="L66" s="38"/>
      <x:c r="M66" s="38"/>
      <x:c r="N66" s="38"/>
      <x:c r="O66" s="38"/>
      <x:c r="P66" s="38"/>
      <x:c r="Q66" s="38"/>
      <x:c r="R66" s="38"/>
      <x:c r="S66" s="38"/>
      <x:c r="T66" s="38"/>
      <x:c r="U66" s="38"/>
    </x:row>
    <x:row r="67" ht="23" customHeight="1">
      <x:c r="A67" s="38"/>
      <x:c r="B67" s="38"/>
      <x:c r="C67" s="38"/>
      <x:c r="D67" s="38"/>
      <x:c r="E67" s="38"/>
      <x:c r="F67" s="38"/>
      <x:c r="G67" s="38"/>
      <x:c r="H67" s="38"/>
      <x:c r="I67" s="38"/>
      <x:c r="J67" s="38"/>
      <x:c r="K67" s="38"/>
      <x:c r="L67" s="38"/>
      <x:c r="M67" s="38"/>
      <x:c r="N67" s="38"/>
      <x:c r="O67" s="38"/>
      <x:c r="P67" s="38"/>
      <x:c r="Q67" s="38"/>
      <x:c r="R67" s="38"/>
      <x:c r="S67" s="38"/>
      <x:c r="T67" s="38"/>
      <x:c r="U67" s="38"/>
    </x:row>
    <x:row r="68" ht="23" customHeight="1">
      <x:c r="A68" s="38"/>
      <x:c r="B68" s="38"/>
      <x:c r="C68" s="38"/>
      <x:c r="D68" s="38"/>
      <x:c r="E68" s="38"/>
      <x:c r="F68" s="38"/>
      <x:c r="G68" s="38"/>
      <x:c r="H68" s="38"/>
      <x:c r="I68" s="38"/>
      <x:c r="J68" s="38"/>
      <x:c r="K68" s="38"/>
      <x:c r="L68" s="38"/>
      <x:c r="M68" s="38"/>
      <x:c r="N68" s="38"/>
      <x:c r="O68" s="38"/>
      <x:c r="P68" s="38"/>
      <x:c r="Q68" s="38"/>
      <x:c r="R68" s="38"/>
      <x:c r="S68" s="38"/>
      <x:c r="T68" s="38"/>
      <x:c r="U68" s="38"/>
    </x:row>
    <x:row r="69" ht="23" customHeight="1">
      <x:c r="A69" s="38"/>
      <x:c r="B69" s="38"/>
      <x:c r="C69" s="38"/>
      <x:c r="D69" s="38"/>
      <x:c r="E69" s="38"/>
      <x:c r="F69" s="38"/>
      <x:c r="G69" s="38"/>
      <x:c r="H69" s="38"/>
      <x:c r="I69" s="38"/>
      <x:c r="J69" s="38"/>
      <x:c r="K69" s="38"/>
      <x:c r="L69" s="38"/>
      <x:c r="M69" s="38"/>
      <x:c r="N69" s="38"/>
      <x:c r="O69" s="38"/>
      <x:c r="P69" s="38"/>
      <x:c r="Q69" s="38"/>
      <x:c r="R69" s="38"/>
      <x:c r="S69" s="38"/>
      <x:c r="T69" s="38"/>
      <x:c r="U69" s="38"/>
    </x:row>
    <x:row r="70" ht="23" customHeight="1">
      <x:c r="A70" s="38"/>
      <x:c r="B70" s="38"/>
      <x:c r="C70" s="38"/>
      <x:c r="D70" s="38"/>
      <x:c r="E70" s="38"/>
      <x:c r="F70" s="38"/>
      <x:c r="G70" s="38"/>
      <x:c r="H70" s="38"/>
      <x:c r="I70" s="38"/>
      <x:c r="J70" s="38"/>
      <x:c r="K70" s="38"/>
      <x:c r="L70" s="38"/>
      <x:c r="M70" s="38"/>
      <x:c r="N70" s="38"/>
      <x:c r="O70" s="38"/>
      <x:c r="P70" s="38"/>
      <x:c r="Q70" s="38"/>
      <x:c r="R70" s="38"/>
      <x:c r="S70" s="38"/>
      <x:c r="T70" s="38"/>
      <x:c r="U70" s="38"/>
    </x:row>
    <x:row r="71" ht="23" customHeight="1">
      <x:c r="A71" s="38"/>
      <x:c r="B71" s="38"/>
      <x:c r="C71" s="38"/>
      <x:c r="D71" s="38"/>
      <x:c r="E71" s="38"/>
      <x:c r="F71" s="38"/>
      <x:c r="G71" s="38"/>
      <x:c r="H71" s="38"/>
      <x:c r="I71" s="38"/>
      <x:c r="J71" s="38"/>
      <x:c r="K71" s="38"/>
      <x:c r="L71" s="38"/>
      <x:c r="M71" s="38"/>
      <x:c r="N71" s="38"/>
      <x:c r="O71" s="38"/>
      <x:c r="P71" s="38"/>
      <x:c r="Q71" s="38"/>
      <x:c r="R71" s="38"/>
      <x:c r="S71" s="38"/>
      <x:c r="T71" s="38"/>
      <x:c r="U71" s="38"/>
    </x:row>
    <x:row r="72" ht="23" customHeight="1">
      <x:c r="A72" s="38"/>
      <x:c r="B72" s="38"/>
      <x:c r="C72" s="38"/>
      <x:c r="D72" s="38"/>
      <x:c r="E72" s="38"/>
      <x:c r="F72" s="38"/>
      <x:c r="G72" s="38"/>
      <x:c r="H72" s="38"/>
      <x:c r="I72" s="38"/>
      <x:c r="J72" s="38"/>
      <x:c r="K72" s="38"/>
      <x:c r="L72" s="38"/>
      <x:c r="M72" s="38"/>
      <x:c r="N72" s="38"/>
      <x:c r="O72" s="38"/>
      <x:c r="P72" s="38"/>
      <x:c r="Q72" s="38"/>
      <x:c r="R72" s="38"/>
      <x:c r="S72" s="38"/>
      <x:c r="T72" s="38"/>
      <x:c r="U72" s="38"/>
    </x:row>
    <x:row r="73" ht="23" customHeight="1">
      <x:c r="A73" s="38"/>
      <x:c r="B73" s="38"/>
      <x:c r="C73" s="38"/>
      <x:c r="D73" s="38"/>
      <x:c r="E73" s="38"/>
      <x:c r="F73" s="38"/>
      <x:c r="G73" s="38"/>
      <x:c r="H73" s="38"/>
      <x:c r="I73" s="38"/>
      <x:c r="J73" s="38"/>
      <x:c r="K73" s="38"/>
      <x:c r="L73" s="38"/>
      <x:c r="M73" s="38"/>
      <x:c r="N73" s="38"/>
      <x:c r="O73" s="38"/>
      <x:c r="P73" s="38"/>
      <x:c r="Q73" s="38"/>
      <x:c r="R73" s="38"/>
      <x:c r="S73" s="38"/>
      <x:c r="T73" s="38"/>
      <x:c r="U73" s="38"/>
    </x:row>
    <x:row r="74" ht="23" customHeight="1">
      <x:c r="A74" s="38"/>
      <x:c r="B74" s="38"/>
      <x:c r="C74" s="38"/>
      <x:c r="D74" s="38"/>
      <x:c r="E74" s="38"/>
      <x:c r="F74" s="38"/>
      <x:c r="G74" s="38"/>
      <x:c r="H74" s="38"/>
      <x:c r="I74" s="38"/>
      <x:c r="J74" s="38"/>
      <x:c r="K74" s="38"/>
      <x:c r="L74" s="38"/>
      <x:c r="M74" s="38"/>
      <x:c r="N74" s="38"/>
      <x:c r="O74" s="38"/>
      <x:c r="P74" s="38"/>
      <x:c r="Q74" s="38"/>
      <x:c r="R74" s="38"/>
      <x:c r="S74" s="38"/>
      <x:c r="T74" s="38"/>
      <x:c r="U74" s="38"/>
    </x:row>
    <x:row r="75" ht="23" customHeight="1">
      <x:c r="A75" s="38"/>
      <x:c r="B75" s="38"/>
      <x:c r="C75" s="38"/>
      <x:c r="D75" s="38"/>
      <x:c r="E75" s="38"/>
      <x:c r="F75" s="38"/>
      <x:c r="G75" s="38"/>
      <x:c r="H75" s="38"/>
      <x:c r="I75" s="38"/>
      <x:c r="J75" s="38"/>
      <x:c r="K75" s="38"/>
      <x:c r="L75" s="38"/>
      <x:c r="M75" s="38"/>
      <x:c r="N75" s="38"/>
      <x:c r="O75" s="38"/>
      <x:c r="P75" s="38"/>
      <x:c r="Q75" s="38"/>
      <x:c r="R75" s="38"/>
      <x:c r="S75" s="38"/>
      <x:c r="T75" s="38"/>
      <x:c r="U75" s="38"/>
    </x:row>
    <x:row r="76" ht="23" customHeight="1">
      <x:c r="A76" s="38"/>
      <x:c r="B76" s="38"/>
      <x:c r="C76" s="38"/>
      <x:c r="D76" s="38"/>
      <x:c r="E76" s="38"/>
      <x:c r="F76" s="38"/>
      <x:c r="G76" s="38"/>
      <x:c r="H76" s="38"/>
      <x:c r="I76" s="38"/>
      <x:c r="J76" s="38"/>
      <x:c r="K76" s="38"/>
      <x:c r="L76" s="38"/>
      <x:c r="M76" s="38"/>
      <x:c r="N76" s="38"/>
      <x:c r="O76" s="38"/>
      <x:c r="P76" s="38"/>
      <x:c r="Q76" s="38"/>
      <x:c r="R76" s="38"/>
      <x:c r="S76" s="38"/>
      <x:c r="T76" s="38"/>
      <x:c r="U76" s="38"/>
    </x:row>
    <x:row r="77" ht="23" customHeight="1">
      <x:c r="A77" s="38"/>
      <x:c r="B77" s="38"/>
      <x:c r="C77" s="38"/>
      <x:c r="D77" s="38"/>
      <x:c r="E77" s="38"/>
      <x:c r="F77" s="38"/>
      <x:c r="G77" s="38"/>
      <x:c r="H77" s="38"/>
      <x:c r="I77" s="38"/>
      <x:c r="J77" s="38"/>
      <x:c r="K77" s="38"/>
      <x:c r="L77" s="38"/>
      <x:c r="M77" s="38"/>
      <x:c r="N77" s="38"/>
      <x:c r="O77" s="38"/>
      <x:c r="P77" s="38"/>
      <x:c r="Q77" s="38"/>
      <x:c r="R77" s="38"/>
      <x:c r="S77" s="38"/>
      <x:c r="T77" s="38"/>
      <x:c r="U77" s="38"/>
    </x:row>
    <x:row r="78" ht="23" customHeight="1">
      <x:c r="A78" s="38"/>
      <x:c r="B78" s="38"/>
      <x:c r="C78" s="38"/>
      <x:c r="D78" s="38"/>
      <x:c r="E78" s="38"/>
      <x:c r="F78" s="38"/>
      <x:c r="G78" s="38"/>
      <x:c r="H78" s="38"/>
      <x:c r="I78" s="38"/>
      <x:c r="J78" s="38"/>
      <x:c r="K78" s="38"/>
      <x:c r="L78" s="38"/>
      <x:c r="M78" s="38"/>
      <x:c r="N78" s="38"/>
      <x:c r="O78" s="38"/>
      <x:c r="P78" s="38"/>
      <x:c r="Q78" s="38"/>
      <x:c r="R78" s="38"/>
      <x:c r="S78" s="38"/>
      <x:c r="T78" s="38"/>
      <x:c r="U78" s="38"/>
    </x:row>
    <x:row r="79" ht="23" customHeight="1">
      <x:c r="A79" s="38"/>
      <x:c r="B79" s="38"/>
      <x:c r="C79" s="38"/>
      <x:c r="D79" s="38"/>
      <x:c r="E79" s="38"/>
      <x:c r="F79" s="38"/>
      <x:c r="G79" s="38"/>
      <x:c r="H79" s="38"/>
      <x:c r="I79" s="38"/>
      <x:c r="J79" s="38"/>
      <x:c r="K79" s="38"/>
      <x:c r="L79" s="38"/>
      <x:c r="M79" s="38"/>
      <x:c r="N79" s="38"/>
      <x:c r="O79" s="38"/>
      <x:c r="P79" s="38"/>
      <x:c r="Q79" s="38"/>
      <x:c r="R79" s="38"/>
      <x:c r="S79" s="38"/>
      <x:c r="T79" s="38"/>
      <x:c r="U79" s="38"/>
    </x:row>
    <x:row r="80" ht="23" customHeight="1">
      <x:c r="A80" s="38"/>
      <x:c r="B80" s="38"/>
      <x:c r="C80" s="38"/>
      <x:c r="D80" s="38"/>
      <x:c r="E80" s="38"/>
      <x:c r="F80" s="38"/>
      <x:c r="G80" s="38"/>
      <x:c r="H80" s="38"/>
      <x:c r="I80" s="38"/>
      <x:c r="J80" s="38"/>
      <x:c r="K80" s="38"/>
      <x:c r="L80" s="38"/>
      <x:c r="M80" s="38"/>
      <x:c r="N80" s="38"/>
      <x:c r="O80" s="38"/>
      <x:c r="P80" s="38"/>
      <x:c r="Q80" s="38"/>
      <x:c r="R80" s="38"/>
      <x:c r="S80" s="38"/>
      <x:c r="T80" s="38"/>
      <x:c r="U80" s="38"/>
    </x:row>
    <x:row r="81" ht="23" customHeight="1">
      <x:c r="A81" s="38"/>
      <x:c r="B81" s="38"/>
      <x:c r="C81" s="38"/>
      <x:c r="D81" s="38"/>
      <x:c r="E81" s="38"/>
      <x:c r="F81" s="38"/>
      <x:c r="G81" s="38"/>
      <x:c r="H81" s="38"/>
      <x:c r="I81" s="38"/>
      <x:c r="J81" s="38"/>
      <x:c r="K81" s="38"/>
      <x:c r="L81" s="38"/>
      <x:c r="M81" s="38"/>
      <x:c r="N81" s="38"/>
      <x:c r="O81" s="38"/>
      <x:c r="P81" s="38"/>
      <x:c r="Q81" s="38"/>
      <x:c r="R81" s="38"/>
      <x:c r="S81" s="38"/>
      <x:c r="T81" s="38"/>
      <x:c r="U81" s="38"/>
    </x:row>
    <x:row r="82" ht="23" customHeight="1">
      <x:c r="A82" s="38"/>
      <x:c r="B82" s="38"/>
      <x:c r="C82" s="38"/>
      <x:c r="D82" s="38"/>
      <x:c r="E82" s="38"/>
      <x:c r="F82" s="38"/>
      <x:c r="G82" s="38"/>
      <x:c r="H82" s="38"/>
      <x:c r="I82" s="38"/>
      <x:c r="J82" s="38"/>
      <x:c r="K82" s="38"/>
      <x:c r="L82" s="38"/>
      <x:c r="M82" s="38"/>
      <x:c r="N82" s="38"/>
      <x:c r="O82" s="38"/>
      <x:c r="P82" s="38"/>
      <x:c r="Q82" s="38"/>
      <x:c r="R82" s="38"/>
      <x:c r="S82" s="38"/>
      <x:c r="T82" s="38"/>
      <x:c r="U82" s="38"/>
    </x:row>
    <x:row r="83" ht="23" customHeight="1">
      <x:c r="A83" s="38"/>
      <x:c r="B83" s="38"/>
      <x:c r="C83" s="38"/>
      <x:c r="D83" s="38"/>
      <x:c r="E83" s="38"/>
      <x:c r="F83" s="38"/>
      <x:c r="G83" s="38"/>
      <x:c r="H83" s="38"/>
      <x:c r="I83" s="38"/>
      <x:c r="J83" s="38"/>
      <x:c r="K83" s="38"/>
      <x:c r="L83" s="38"/>
      <x:c r="M83" s="38"/>
      <x:c r="N83" s="38"/>
      <x:c r="O83" s="38"/>
      <x:c r="P83" s="38"/>
      <x:c r="Q83" s="38"/>
      <x:c r="R83" s="38"/>
      <x:c r="S83" s="38"/>
      <x:c r="T83" s="38"/>
      <x:c r="U83" s="38"/>
    </x:row>
    <x:row r="84" ht="23" customHeight="1">
      <x:c r="A84" s="38"/>
      <x:c r="B84" s="38"/>
      <x:c r="C84" s="38"/>
      <x:c r="D84" s="38"/>
      <x:c r="E84" s="38"/>
      <x:c r="F84" s="38"/>
      <x:c r="G84" s="38"/>
      <x:c r="H84" s="38"/>
      <x:c r="I84" s="38"/>
      <x:c r="J84" s="38"/>
      <x:c r="K84" s="38"/>
      <x:c r="L84" s="38"/>
      <x:c r="M84" s="38"/>
      <x:c r="N84" s="38"/>
      <x:c r="O84" s="38"/>
      <x:c r="P84" s="38"/>
      <x:c r="Q84" s="38"/>
      <x:c r="R84" s="38"/>
      <x:c r="S84" s="38"/>
      <x:c r="T84" s="38"/>
      <x:c r="U84" s="38"/>
    </x:row>
    <x:row r="85" ht="23" customHeight="1">
      <x:c r="A85" s="38"/>
      <x:c r="B85" s="38"/>
      <x:c r="C85" s="38"/>
      <x:c r="D85" s="38"/>
      <x:c r="E85" s="38"/>
      <x:c r="F85" s="38"/>
      <x:c r="G85" s="38"/>
      <x:c r="H85" s="38"/>
      <x:c r="I85" s="38"/>
      <x:c r="J85" s="38"/>
      <x:c r="K85" s="38"/>
      <x:c r="L85" s="38"/>
      <x:c r="M85" s="38"/>
      <x:c r="N85" s="38"/>
      <x:c r="O85" s="38"/>
      <x:c r="P85" s="38"/>
      <x:c r="Q85" s="38"/>
      <x:c r="R85" s="38"/>
      <x:c r="S85" s="38"/>
      <x:c r="T85" s="38"/>
      <x:c r="U85" s="38"/>
    </x:row>
  </x:sheetData>
  <x:mergeCells>
    <x:mergeCell ref="B2:N3"/>
    <x:mergeCell ref="B4:N5"/>
    <x:mergeCell ref="B39:L39"/>
    <x:mergeCell ref="B41:L4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007F86"/>
  </x:sheetPr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3" hidden="0" customWidth="1"/>
    <x:col min="2" max="2" width="17" hidden="0" customWidth="1"/>
    <x:col min="3" max="3" width="17" hidden="0" customWidth="1"/>
    <x:col min="4" max="4" width="23" hidden="0" customWidth="1"/>
    <x:col min="5" max="5" width="23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</x:cols>
  <x:sheetData>
    <x:row r="1" ht="23" customHeight="1">
      <x:c r="A1" s="38"/>
      <x:c r="B1" s="38"/>
      <x:c r="C1" s="38"/>
      <x:c r="D1" s="38"/>
      <x:c r="E1" s="38"/>
      <x:c r="F1" s="38"/>
      <x:c r="G1" s="38"/>
      <x:c r="H1" s="38"/>
      <x:c r="I1" s="38"/>
      <x:c r="J1" s="38"/>
      <x:c r="K1" s="38"/>
      <x:c r="L1" s="38"/>
      <x:c r="M1" s="38"/>
      <x:c r="N1" s="38"/>
      <x:c r="O1" s="38"/>
      <x:c r="P1" s="38"/>
      <x:c r="Q1" s="38"/>
      <x:c r="R1" s="38"/>
      <x:c r="S1" s="38"/>
      <x:c r="T1" s="38"/>
      <x:c r="U1" s="38"/>
    </x:row>
    <x:row r="2" ht="23" customHeight="1">
      <x:c r="A2" s="38"/>
      <x:c r="B2" s="4" t="str">
        <x:v>Transaction audit trail</x:v>
      </x:c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38"/>
      <x:c r="N2" s="38"/>
      <x:c r="O2" s="38"/>
      <x:c r="P2" s="38"/>
      <x:c r="Q2" s="38"/>
      <x:c r="R2" s="38"/>
      <x:c r="S2" s="38"/>
      <x:c r="T2" s="38"/>
      <x:c r="U2" s="38"/>
    </x:row>
    <x:row r="3" ht="23" customHeight="1">
      <x:c r="A3" s="38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38"/>
      <x:c r="N3" s="38"/>
      <x:c r="O3" s="38"/>
      <x:c r="P3" s="38"/>
      <x:c r="Q3" s="38"/>
      <x:c r="R3" s="38"/>
      <x:c r="S3" s="38"/>
      <x:c r="T3" s="38"/>
      <x:c r="U3" s="38"/>
    </x:row>
    <x:row r="4" ht="23" customHeight="1">
      <x:c r="A4" s="38"/>
      <x:c r="B4" s="39" t="str">
        <x:v>USD • synthetic practice records • trade amounts positive; calculated cash and unit changes carry their economic signs.</x:v>
      </x:c>
      <x:c r="C4" s="39"/>
      <x:c r="D4" s="39"/>
      <x:c r="E4" s="39"/>
      <x:c r="F4" s="39"/>
      <x:c r="G4" s="39"/>
      <x:c r="H4" s="39"/>
      <x:c r="I4" s="39"/>
      <x:c r="J4" s="39"/>
      <x:c r="K4" s="39"/>
      <x:c r="L4" s="39"/>
      <x:c r="M4" s="38"/>
      <x:c r="N4" s="38"/>
      <x:c r="O4" s="38"/>
      <x:c r="P4" s="38"/>
      <x:c r="Q4" s="38"/>
      <x:c r="R4" s="38"/>
      <x:c r="S4" s="38"/>
      <x:c r="T4" s="38"/>
      <x:c r="U4" s="38"/>
    </x:row>
    <x:row r="5" ht="23" customHeight="1">
      <x:c r="A5" s="38"/>
      <x:c r="B5" s="39"/>
      <x:c r="C5" s="39"/>
      <x:c r="D5" s="39"/>
      <x:c r="E5" s="39"/>
      <x:c r="F5" s="39"/>
      <x:c r="G5" s="39"/>
      <x:c r="H5" s="39"/>
      <x:c r="I5" s="39"/>
      <x:c r="J5" s="39"/>
      <x:c r="K5" s="39"/>
      <x:c r="L5" s="39"/>
      <x:c r="M5" s="38"/>
      <x:c r="N5" s="38"/>
      <x:c r="O5" s="38"/>
      <x:c r="P5" s="38"/>
      <x:c r="Q5" s="38"/>
      <x:c r="R5" s="38"/>
      <x:c r="S5" s="38"/>
      <x:c r="T5" s="38"/>
      <x:c r="U5" s="38"/>
    </x:row>
    <x:row r="6" ht="23" customHeight="1">
      <x:c r="A6" s="38"/>
      <x:c r="B6" s="38"/>
      <x:c r="C6" s="38"/>
      <x:c r="D6" s="38"/>
      <x:c r="E6" s="38"/>
      <x:c r="F6" s="38"/>
      <x:c r="G6" s="38"/>
      <x:c r="H6" s="38"/>
      <x:c r="I6" s="38"/>
      <x:c r="J6" s="38"/>
      <x:c r="K6" s="38"/>
      <x:c r="L6" s="38"/>
      <x:c r="M6" s="38"/>
      <x:c r="N6" s="38"/>
      <x:c r="O6" s="38"/>
      <x:c r="P6" s="38"/>
      <x:c r="Q6" s="38"/>
      <x:c r="R6" s="38"/>
      <x:c r="S6" s="38"/>
      <x:c r="T6" s="38"/>
      <x:c r="U6" s="38"/>
    </x:row>
    <x:row r="7" ht="23" customHeight="1">
      <x:c r="A7" s="38"/>
      <x:c r="B7" s="38"/>
      <x:c r="C7" s="38"/>
      <x:c r="D7" s="38"/>
      <x:c r="E7" s="38"/>
      <x:c r="F7" s="38"/>
      <x:c r="G7" s="38"/>
      <x:c r="H7" s="38"/>
      <x:c r="I7" s="38"/>
      <x:c r="J7" s="38"/>
      <x:c r="K7" s="38"/>
      <x:c r="L7" s="38"/>
      <x:c r="M7" s="38"/>
      <x:c r="N7" s="38"/>
      <x:c r="O7" s="38"/>
      <x:c r="P7" s="38"/>
      <x:c r="Q7" s="38"/>
      <x:c r="R7" s="38"/>
      <x:c r="S7" s="38"/>
      <x:c r="T7" s="38"/>
      <x:c r="U7" s="38"/>
    </x:row>
    <x:row r="8" ht="23" customHeight="1">
      <x:c r="A8" s="38"/>
      <x:c r="B8" s="38"/>
      <x:c r="C8" s="38"/>
      <x:c r="D8" s="38"/>
      <x:c r="E8" s="38"/>
      <x:c r="F8" s="38"/>
      <x:c r="G8" s="38"/>
      <x:c r="H8" s="38"/>
      <x:c r="I8" s="38"/>
      <x:c r="J8" s="38"/>
      <x:c r="K8" s="38"/>
      <x:c r="L8" s="38"/>
      <x:c r="M8" s="38"/>
      <x:c r="N8" s="38"/>
      <x:c r="O8" s="38"/>
      <x:c r="P8" s="38"/>
      <x:c r="Q8" s="38"/>
      <x:c r="R8" s="38"/>
      <x:c r="S8" s="38"/>
      <x:c r="T8" s="38"/>
      <x:c r="U8" s="38"/>
    </x:row>
    <x:row r="9" ht="34" customHeight="1">
      <x:c r="A9" s="38"/>
      <x:c r="B9" s="41" t="str">
        <x:v>ID</x:v>
      </x:c>
      <x:c r="C9" s="41" t="str">
        <x:v>Date</x:v>
      </x:c>
      <x:c r="D9" s="41" t="str">
        <x:v>Type</x:v>
      </x:c>
      <x:c r="E9" s="41" t="str">
        <x:v>Sleeve</x:v>
      </x:c>
      <x:c r="F9" s="41" t="str">
        <x:v>Amount</x:v>
      </x:c>
      <x:c r="G9" s="41" t="str">
        <x:v>Execution price</x:v>
      </x:c>
      <x:c r="H9" s="41" t="str">
        <x:v>Unit delta</x:v>
      </x:c>
      <x:c r="I9" s="41" t="str">
        <x:v>Cash delta</x:v>
      </x:c>
      <x:c r="J9" s="41" t="str">
        <x:v>External flow</x:v>
      </x:c>
      <x:c r="K9" s="41" t="str">
        <x:v>Fee</x:v>
      </x:c>
      <x:c r="L9" s="38"/>
      <x:c r="M9" s="38"/>
      <x:c r="N9" s="38"/>
      <x:c r="O9" s="38"/>
      <x:c r="P9" s="38"/>
      <x:c r="Q9" s="38"/>
      <x:c r="R9" s="38"/>
      <x:c r="S9" s="38"/>
      <x:c r="T9" s="38"/>
      <x:c r="U9" s="38"/>
    </x:row>
    <x:row r="10" ht="23" customHeight="1">
      <x:c r="A10" s="38"/>
      <x:c r="B10" s="51" t="str">
        <x:v>T001</x:v>
      </x:c>
      <x:c r="C10" s="51" t="str">
        <x:v>2021-10-31</x:v>
      </x:c>
      <x:c r="D10" s="51" t="str">
        <x:v>Fee</x:v>
      </x:c>
      <x:c r="E10" s="51" t="str">
        <x:v>Cash</x:v>
      </x:c>
      <x:c r="F10" s="52" t="n">
        <x:v>250</x:v>
      </x:c>
      <x:c r="G10" s="52" t="n">
        <x:v>1</x:v>
      </x:c>
      <x:c r="H10" s="53" t="n">
        <x:f>IF(D10="Buy",F10/G10,IF(D10="Sell",-F10/G10,0))</x:f>
        <x:v>0</x:v>
      </x:c>
      <x:c r="I10" s="53" t="n">
        <x:f>IF(OR(D10="Contribution",D10="Income",D10="Sell"),F10,IF(OR(D10="Buy",D10="Withdrawal",D10="Fee"),-F10,0))</x:f>
        <x:v>-250</x:v>
      </x:c>
      <x:c r="J10" s="53" t="n">
        <x:f>IF(OR(D10="Contribution",D10="Reclassification"),F10,IF(D10="Withdrawal",-F10,0))</x:f>
        <x:v>0</x:v>
      </x:c>
      <x:c r="K10" s="53" t="n">
        <x:f>IF(D10="Fee",F10,0)</x:f>
        <x:v>250</x:v>
      </x:c>
      <x:c r="L10" s="38"/>
      <x:c r="M10" s="38"/>
      <x:c r="N10" s="38"/>
      <x:c r="O10" s="38"/>
      <x:c r="P10" s="38"/>
      <x:c r="Q10" s="38"/>
      <x:c r="R10" s="38"/>
      <x:c r="S10" s="38"/>
      <x:c r="T10" s="38"/>
      <x:c r="U10" s="38"/>
    </x:row>
    <x:row r="11" ht="23" customHeight="1">
      <x:c r="A11" s="38"/>
      <x:c r="B11" s="51" t="str">
        <x:v>T002</x:v>
      </x:c>
      <x:c r="C11" s="51" t="str">
        <x:v>2021-11-15</x:v>
      </x:c>
      <x:c r="D11" s="51" t="str">
        <x:v>Contribution</x:v>
      </x:c>
      <x:c r="E11" s="51" t="str">
        <x:v>Cash</x:v>
      </x:c>
      <x:c r="F11" s="52" t="n">
        <x:v>100000</x:v>
      </x:c>
      <x:c r="G11" s="52" t="n">
        <x:v>1</x:v>
      </x:c>
      <x:c r="H11" s="53" t="n">
        <x:f>IF(D11="Buy",F11/G11,IF(D11="Sell",-F11/G11,0))</x:f>
        <x:v>0</x:v>
      </x:c>
      <x:c r="I11" s="53" t="n">
        <x:f>IF(OR(D11="Contribution",D11="Income",D11="Sell"),F11,IF(OR(D11="Buy",D11="Withdrawal",D11="Fee"),-F11,0))</x:f>
        <x:v>100000</x:v>
      </x:c>
      <x:c r="J11" s="53" t="n">
        <x:f>IF(OR(D11="Contribution",D11="Reclassification"),F11,IF(D11="Withdrawal",-F11,0))</x:f>
        <x:v>100000</x:v>
      </x:c>
      <x:c r="K11" s="53" t="n">
        <x:f>IF(D11="Fee",F11,0)</x:f>
        <x:v>0</x:v>
      </x:c>
      <x:c r="L11" s="38"/>
      <x:c r="M11" s="38"/>
      <x:c r="N11" s="38"/>
      <x:c r="O11" s="38"/>
      <x:c r="P11" s="38"/>
      <x:c r="Q11" s="38"/>
      <x:c r="R11" s="38"/>
      <x:c r="S11" s="38"/>
      <x:c r="T11" s="38"/>
      <x:c r="U11" s="38"/>
    </x:row>
    <x:row r="12" ht="23" customHeight="1">
      <x:c r="A12" s="38"/>
      <x:c r="B12" s="51" t="str">
        <x:v>T003</x:v>
      </x:c>
      <x:c r="C12" s="51" t="str">
        <x:v>2021-11-15</x:v>
      </x:c>
      <x:c r="D12" s="51" t="str">
        <x:v>Buy</x:v>
      </x:c>
      <x:c r="E12" s="51" t="str">
        <x:v>Technology</x:v>
      </x:c>
      <x:c r="F12" s="52" t="n">
        <x:v>50000</x:v>
      </x:c>
      <x:c r="G12" s="52" t="n">
        <x:v>98.81521549201459</x:v>
      </x:c>
      <x:c r="H12" s="53" t="n">
        <x:f>IF(D12="Buy",F12/G12,IF(D12="Sell",-F12/G12,0))</x:f>
        <x:v>505.99494977613625</x:v>
      </x:c>
      <x:c r="I12" s="53" t="n">
        <x:f>IF(OR(D12="Contribution",D12="Income",D12="Sell"),F12,IF(OR(D12="Buy",D12="Withdrawal",D12="Fee"),-F12,0))</x:f>
        <x:v>-50000</x:v>
      </x:c>
      <x:c r="J12" s="53" t="n">
        <x:f>IF(OR(D12="Contribution",D12="Reclassification"),F12,IF(D12="Withdrawal",-F12,0))</x:f>
        <x:v>0</x:v>
      </x:c>
      <x:c r="K12" s="53" t="n">
        <x:f>IF(D12="Fee",F12,0)</x:f>
        <x:v>0</x:v>
      </x:c>
      <x:c r="L12" s="38"/>
      <x:c r="M12" s="38"/>
      <x:c r="N12" s="38"/>
      <x:c r="O12" s="38"/>
      <x:c r="P12" s="38"/>
      <x:c r="Q12" s="38"/>
      <x:c r="R12" s="38"/>
      <x:c r="S12" s="38"/>
      <x:c r="T12" s="38"/>
      <x:c r="U12" s="38"/>
    </x:row>
    <x:row r="13" ht="23" customHeight="1">
      <x:c r="A13" s="38"/>
      <x:c r="B13" s="51" t="str">
        <x:v>T004</x:v>
      </x:c>
      <x:c r="C13" s="51" t="str">
        <x:v>2021-11-15</x:v>
      </x:c>
      <x:c r="D13" s="51" t="str">
        <x:v>Buy</x:v>
      </x:c>
      <x:c r="E13" s="51" t="str">
        <x:v>Renewables</x:v>
      </x:c>
      <x:c r="F13" s="52" t="n">
        <x:v>40000</x:v>
      </x:c>
      <x:c r="G13" s="52" t="n">
        <x:v>100.96425625092368</x:v>
      </x:c>
      <x:c r="H13" s="53" t="n">
        <x:f>IF(D13="Buy",F13/G13,IF(D13="Sell",-F13/G13,0))</x:f>
        <x:v>396.1798114036427</x:v>
      </x:c>
      <x:c r="I13" s="53" t="n">
        <x:f>IF(OR(D13="Contribution",D13="Income",D13="Sell"),F13,IF(OR(D13="Buy",D13="Withdrawal",D13="Fee"),-F13,0))</x:f>
        <x:v>-40000</x:v>
      </x:c>
      <x:c r="J13" s="53" t="n">
        <x:f>IF(OR(D13="Contribution",D13="Reclassification"),F13,IF(D13="Withdrawal",-F13,0))</x:f>
        <x:v>0</x:v>
      </x:c>
      <x:c r="K13" s="53" t="n">
        <x:f>IF(D13="Fee",F13,0)</x:f>
        <x:v>0</x:v>
      </x:c>
      <x:c r="L13" s="38"/>
      <x:c r="M13" s="38"/>
      <x:c r="N13" s="38"/>
      <x:c r="O13" s="38"/>
      <x:c r="P13" s="38"/>
      <x:c r="Q13" s="38"/>
      <x:c r="R13" s="38"/>
      <x:c r="S13" s="38"/>
      <x:c r="T13" s="38"/>
      <x:c r="U13" s="38"/>
    </x:row>
    <x:row r="14" ht="23" customHeight="1">
      <x:c r="A14" s="38"/>
      <x:c r="B14" s="51" t="str">
        <x:v>T005</x:v>
      </x:c>
      <x:c r="C14" s="51" t="str">
        <x:v>2021-11-30</x:v>
      </x:c>
      <x:c r="D14" s="51" t="str">
        <x:v>Fee</x:v>
      </x:c>
      <x:c r="E14" s="51" t="str">
        <x:v>Cash</x:v>
      </x:c>
      <x:c r="F14" s="52" t="n">
        <x:v>250</x:v>
      </x:c>
      <x:c r="G14" s="52" t="n">
        <x:v>1</x:v>
      </x:c>
      <x:c r="H14" s="53" t="n">
        <x:f>IF(D14="Buy",F14/G14,IF(D14="Sell",-F14/G14,0))</x:f>
        <x:v>0</x:v>
      </x:c>
      <x:c r="I14" s="53" t="n">
        <x:f>IF(OR(D14="Contribution",D14="Income",D14="Sell"),F14,IF(OR(D14="Buy",D14="Withdrawal",D14="Fee"),-F14,0))</x:f>
        <x:v>-250</x:v>
      </x:c>
      <x:c r="J14" s="53" t="n">
        <x:f>IF(OR(D14="Contribution",D14="Reclassification"),F14,IF(D14="Withdrawal",-F14,0))</x:f>
        <x:v>0</x:v>
      </x:c>
      <x:c r="K14" s="53" t="n">
        <x:f>IF(D14="Fee",F14,0)</x:f>
        <x:v>250</x:v>
      </x:c>
      <x:c r="L14" s="38"/>
      <x:c r="M14" s="38"/>
      <x:c r="N14" s="38"/>
      <x:c r="O14" s="38"/>
      <x:c r="P14" s="38"/>
      <x:c r="Q14" s="38"/>
      <x:c r="R14" s="38"/>
      <x:c r="S14" s="38"/>
      <x:c r="T14" s="38"/>
      <x:c r="U14" s="38"/>
    </x:row>
    <x:row r="15" ht="23" customHeight="1">
      <x:c r="A15" s="38"/>
      <x:c r="B15" s="51" t="str">
        <x:v>T006</x:v>
      </x:c>
      <x:c r="C15" s="51" t="str">
        <x:v>2021-12-15</x:v>
      </x:c>
      <x:c r="D15" s="51" t="str">
        <x:v>Sell</x:v>
      </x:c>
      <x:c r="E15" s="51" t="str">
        <x:v>Oil &amp; Gas</x:v>
      </x:c>
      <x:c r="F15" s="52" t="n">
        <x:v>40000</x:v>
      </x:c>
      <x:c r="G15" s="52" t="n">
        <x:v>106.05456898303055</x:v>
      </x:c>
      <x:c r="H15" s="53" t="n">
        <x:f>IF(D15="Buy",F15/G15,IF(D15="Sell",-F15/G15,0))</x:f>
        <x:v>-377.16432571990623</x:v>
      </x:c>
      <x:c r="I15" s="53" t="n">
        <x:f>IF(OR(D15="Contribution",D15="Income",D15="Sell"),F15,IF(OR(D15="Buy",D15="Withdrawal",D15="Fee"),-F15,0))</x:f>
        <x:v>40000</x:v>
      </x:c>
      <x:c r="J15" s="53" t="n">
        <x:f>IF(OR(D15="Contribution",D15="Reclassification"),F15,IF(D15="Withdrawal",-F15,0))</x:f>
        <x:v>0</x:v>
      </x:c>
      <x:c r="K15" s="53" t="n">
        <x:f>IF(D15="Fee",F15,0)</x:f>
        <x:v>0</x:v>
      </x:c>
      <x:c r="L15" s="38"/>
      <x:c r="M15" s="38"/>
      <x:c r="N15" s="38"/>
      <x:c r="O15" s="38"/>
      <x:c r="P15" s="38"/>
      <x:c r="Q15" s="38"/>
      <x:c r="R15" s="38"/>
      <x:c r="S15" s="38"/>
      <x:c r="T15" s="38"/>
      <x:c r="U15" s="38"/>
    </x:row>
    <x:row r="16" ht="23" customHeight="1">
      <x:c r="A16" s="38"/>
      <x:c r="B16" s="51" t="str">
        <x:v>T007</x:v>
      </x:c>
      <x:c r="C16" s="51" t="str">
        <x:v>2021-12-15</x:v>
      </x:c>
      <x:c r="D16" s="51" t="str">
        <x:v>Withdrawal</x:v>
      </x:c>
      <x:c r="E16" s="51" t="str">
        <x:v>Cash</x:v>
      </x:c>
      <x:c r="F16" s="52" t="n">
        <x:v>50000</x:v>
      </x:c>
      <x:c r="G16" s="52" t="n">
        <x:v>1</x:v>
      </x:c>
      <x:c r="H16" s="53" t="n">
        <x:f>IF(D16="Buy",F16/G16,IF(D16="Sell",-F16/G16,0))</x:f>
        <x:v>0</x:v>
      </x:c>
      <x:c r="I16" s="53" t="n">
        <x:f>IF(OR(D16="Contribution",D16="Income",D16="Sell"),F16,IF(OR(D16="Buy",D16="Withdrawal",D16="Fee"),-F16,0))</x:f>
        <x:v>-50000</x:v>
      </x:c>
      <x:c r="J16" s="53" t="n">
        <x:f>IF(OR(D16="Contribution",D16="Reclassification"),F16,IF(D16="Withdrawal",-F16,0))</x:f>
        <x:v>-50000</x:v>
      </x:c>
      <x:c r="K16" s="53" t="n">
        <x:f>IF(D16="Fee",F16,0)</x:f>
        <x:v>0</x:v>
      </x:c>
      <x:c r="L16" s="38"/>
      <x:c r="M16" s="38"/>
      <x:c r="N16" s="38"/>
      <x:c r="O16" s="38"/>
      <x:c r="P16" s="38"/>
      <x:c r="Q16" s="38"/>
      <x:c r="R16" s="38"/>
      <x:c r="S16" s="38"/>
      <x:c r="T16" s="38"/>
      <x:c r="U16" s="38"/>
    </x:row>
    <x:row r="17" ht="23" customHeight="1">
      <x:c r="A17" s="38"/>
      <x:c r="B17" s="51" t="str">
        <x:v>T008</x:v>
      </x:c>
      <x:c r="C17" s="51" t="str">
        <x:v>2021-12-31</x:v>
      </x:c>
      <x:c r="D17" s="51" t="str">
        <x:v>Fee</x:v>
      </x:c>
      <x:c r="E17" s="51" t="str">
        <x:v>Cash</x:v>
      </x:c>
      <x:c r="F17" s="52" t="n">
        <x:v>250</x:v>
      </x:c>
      <x:c r="G17" s="52" t="n">
        <x:v>1</x:v>
      </x:c>
      <x:c r="H17" s="53" t="n">
        <x:f>IF(D17="Buy",F17/G17,IF(D17="Sell",-F17/G17,0))</x:f>
        <x:v>0</x:v>
      </x:c>
      <x:c r="I17" s="53" t="n">
        <x:f>IF(OR(D17="Contribution",D17="Income",D17="Sell"),F17,IF(OR(D17="Buy",D17="Withdrawal",D17="Fee"),-F17,0))</x:f>
        <x:v>-250</x:v>
      </x:c>
      <x:c r="J17" s="53" t="n">
        <x:f>IF(OR(D17="Contribution",D17="Reclassification"),F17,IF(D17="Withdrawal",-F17,0))</x:f>
        <x:v>0</x:v>
      </x:c>
      <x:c r="K17" s="53" t="n">
        <x:f>IF(D17="Fee",F17,0)</x:f>
        <x:v>250</x:v>
      </x:c>
      <x:c r="L17" s="38"/>
      <x:c r="M17" s="38"/>
      <x:c r="N17" s="38"/>
      <x:c r="O17" s="38"/>
      <x:c r="P17" s="38"/>
      <x:c r="Q17" s="38"/>
      <x:c r="R17" s="38"/>
      <x:c r="S17" s="38"/>
      <x:c r="T17" s="38"/>
      <x:c r="U17" s="38"/>
    </x:row>
    <x:row r="18" ht="23" customHeight="1">
      <x:c r="A18" s="38"/>
      <x:c r="B18" s="38"/>
      <x:c r="C18" s="38"/>
      <x:c r="D18" s="38"/>
      <x:c r="E18" s="38"/>
      <x:c r="F18" s="38"/>
      <x:c r="G18" s="38"/>
      <x:c r="H18" s="38"/>
      <x:c r="I18" s="38"/>
      <x:c r="J18" s="38"/>
      <x:c r="K18" s="38"/>
      <x:c r="L18" s="38"/>
      <x:c r="M18" s="38"/>
      <x:c r="N18" s="38"/>
      <x:c r="O18" s="38"/>
      <x:c r="P18" s="38"/>
      <x:c r="Q18" s="38"/>
      <x:c r="R18" s="38"/>
      <x:c r="S18" s="38"/>
      <x:c r="T18" s="38"/>
      <x:c r="U18" s="38"/>
    </x:row>
    <x:row r="19" ht="23" customHeight="1">
      <x:c r="A19" s="38"/>
      <x:c r="B19" s="38"/>
      <x:c r="C19" s="38"/>
      <x:c r="D19" s="38"/>
      <x:c r="E19" s="38"/>
      <x:c r="F19" s="38"/>
      <x:c r="G19" s="38"/>
      <x:c r="H19" s="38"/>
      <x:c r="I19" s="38"/>
      <x:c r="J19" s="38"/>
      <x:c r="K19" s="38"/>
      <x:c r="L19" s="38"/>
      <x:c r="M19" s="38"/>
      <x:c r="N19" s="38"/>
      <x:c r="O19" s="38"/>
      <x:c r="P19" s="38"/>
      <x:c r="Q19" s="38"/>
      <x:c r="R19" s="38"/>
      <x:c r="S19" s="38"/>
      <x:c r="T19" s="38"/>
      <x:c r="U19" s="38"/>
    </x:row>
    <x:row r="20" ht="40" customHeight="1">
      <x:c r="A20" s="38"/>
      <x:c r="B20" s="40" t="str">
        <x:v>Internal ledger below: the contribution was classified as income; the renewable-sleeve purchase and final fee were missing.</x:v>
      </x:c>
      <x:c r="C20" s="40"/>
      <x:c r="D20" s="40"/>
      <x:c r="E20" s="40"/>
      <x:c r="F20" s="40"/>
      <x:c r="G20" s="40"/>
      <x:c r="H20" s="40"/>
      <x:c r="I20" s="40"/>
      <x:c r="J20" s="40"/>
      <x:c r="K20" s="40"/>
      <x:c r="L20" s="38"/>
      <x:c r="M20" s="38"/>
      <x:c r="N20" s="38"/>
      <x:c r="O20" s="38"/>
      <x:c r="P20" s="38"/>
      <x:c r="Q20" s="38"/>
      <x:c r="R20" s="38"/>
      <x:c r="S20" s="38"/>
      <x:c r="T20" s="38"/>
      <x:c r="U20" s="38"/>
    </x:row>
    <x:row r="21" ht="23" customHeight="1">
      <x:c r="A21" s="38"/>
      <x:c r="B21" s="38"/>
      <x:c r="C21" s="38"/>
      <x:c r="D21" s="38"/>
      <x:c r="E21" s="38"/>
      <x:c r="F21" s="38"/>
      <x:c r="G21" s="38"/>
      <x:c r="H21" s="38"/>
      <x:c r="I21" s="38"/>
      <x:c r="J21" s="38"/>
      <x:c r="K21" s="38"/>
      <x:c r="L21" s="38"/>
      <x:c r="M21" s="38"/>
      <x:c r="N21" s="38"/>
      <x:c r="O21" s="38"/>
      <x:c r="P21" s="38"/>
      <x:c r="Q21" s="38"/>
      <x:c r="R21" s="38"/>
      <x:c r="S21" s="38"/>
      <x:c r="T21" s="38"/>
      <x:c r="U21" s="38"/>
    </x:row>
    <x:row r="22" ht="23" customHeight="1">
      <x:c r="A22" s="38"/>
      <x:c r="B22" s="38"/>
      <x:c r="C22" s="38"/>
      <x:c r="D22" s="38"/>
      <x:c r="E22" s="38"/>
      <x:c r="F22" s="38"/>
      <x:c r="G22" s="38"/>
      <x:c r="H22" s="38"/>
      <x:c r="I22" s="38"/>
      <x:c r="J22" s="38"/>
      <x:c r="K22" s="38"/>
      <x:c r="L22" s="38"/>
      <x:c r="M22" s="38"/>
      <x:c r="N22" s="38"/>
      <x:c r="O22" s="38"/>
      <x:c r="P22" s="38"/>
      <x:c r="Q22" s="38"/>
      <x:c r="R22" s="38"/>
      <x:c r="S22" s="38"/>
      <x:c r="T22" s="38"/>
      <x:c r="U22" s="38"/>
    </x:row>
    <x:row r="23" ht="34" customHeight="1">
      <x:c r="A23" s="38"/>
      <x:c r="B23" s="41" t="str">
        <x:v>ID</x:v>
      </x:c>
      <x:c r="C23" s="41" t="str">
        <x:v>Date</x:v>
      </x:c>
      <x:c r="D23" s="41" t="str">
        <x:v>Type</x:v>
      </x:c>
      <x:c r="E23" s="41" t="str">
        <x:v>Sleeve</x:v>
      </x:c>
      <x:c r="F23" s="41" t="str">
        <x:v>Amount</x:v>
      </x:c>
      <x:c r="G23" s="41" t="str">
        <x:v>Execution price</x:v>
      </x:c>
      <x:c r="H23" s="41" t="str">
        <x:v>Unit delta</x:v>
      </x:c>
      <x:c r="I23" s="41" t="str">
        <x:v>Cash delta</x:v>
      </x:c>
      <x:c r="J23" s="41" t="str">
        <x:v>External flow</x:v>
      </x:c>
      <x:c r="K23" s="41" t="str">
        <x:v>Fee</x:v>
      </x:c>
      <x:c r="L23" s="38"/>
      <x:c r="M23" s="38"/>
      <x:c r="N23" s="38"/>
      <x:c r="O23" s="38"/>
      <x:c r="P23" s="38"/>
      <x:c r="Q23" s="38"/>
      <x:c r="R23" s="38"/>
      <x:c r="S23" s="38"/>
      <x:c r="T23" s="38"/>
      <x:c r="U23" s="38"/>
    </x:row>
    <x:row r="24" ht="23" customHeight="1">
      <x:c r="A24" s="38"/>
      <x:c r="B24" s="51" t="str">
        <x:v>T001</x:v>
      </x:c>
      <x:c r="C24" s="51" t="str">
        <x:v>2021-10-31</x:v>
      </x:c>
      <x:c r="D24" s="51" t="str">
        <x:v>Fee</x:v>
      </x:c>
      <x:c r="E24" s="51" t="str">
        <x:v>Cash</x:v>
      </x:c>
      <x:c r="F24" s="52" t="n">
        <x:v>250</x:v>
      </x:c>
      <x:c r="G24" s="52" t="n">
        <x:v>1</x:v>
      </x:c>
      <x:c r="H24" s="53" t="n">
        <x:f>IF(D24="Buy",F24/G24,IF(D24="Sell",-F24/G24,0))</x:f>
        <x:v>0</x:v>
      </x:c>
      <x:c r="I24" s="53" t="n">
        <x:f>IF(OR(D24="Contribution",D24="Income",D24="Sell"),F24,IF(OR(D24="Buy",D24="Withdrawal",D24="Fee"),-F24,0))</x:f>
        <x:v>-250</x:v>
      </x:c>
      <x:c r="J24" s="53" t="n">
        <x:f>IF(OR(D24="Contribution",D24="Reclassification"),F24,IF(D24="Withdrawal",-F24,0))</x:f>
        <x:v>0</x:v>
      </x:c>
      <x:c r="K24" s="53" t="n">
        <x:f>IF(D24="Fee",F24,0)</x:f>
        <x:v>250</x:v>
      </x:c>
      <x:c r="L24" s="38"/>
      <x:c r="M24" s="38"/>
      <x:c r="N24" s="38"/>
      <x:c r="O24" s="38"/>
      <x:c r="P24" s="38"/>
      <x:c r="Q24" s="38"/>
      <x:c r="R24" s="38"/>
      <x:c r="S24" s="38"/>
      <x:c r="T24" s="38"/>
      <x:c r="U24" s="38"/>
    </x:row>
    <x:row r="25" ht="23" customHeight="1">
      <x:c r="A25" s="38"/>
      <x:c r="B25" s="51" t="str">
        <x:v>T002</x:v>
      </x:c>
      <x:c r="C25" s="51" t="str">
        <x:v>2021-11-15</x:v>
      </x:c>
      <x:c r="D25" s="51" t="str">
        <x:v>Income</x:v>
      </x:c>
      <x:c r="E25" s="51" t="str">
        <x:v>Cash</x:v>
      </x:c>
      <x:c r="F25" s="52" t="n">
        <x:v>100000</x:v>
      </x:c>
      <x:c r="G25" s="52" t="n">
        <x:v>1</x:v>
      </x:c>
      <x:c r="H25" s="53" t="n">
        <x:f>IF(D25="Buy",F25/G25,IF(D25="Sell",-F25/G25,0))</x:f>
        <x:v>0</x:v>
      </x:c>
      <x:c r="I25" s="53" t="n">
        <x:f>IF(OR(D25="Contribution",D25="Income",D25="Sell"),F25,IF(OR(D25="Buy",D25="Withdrawal",D25="Fee"),-F25,0))</x:f>
        <x:v>100000</x:v>
      </x:c>
      <x:c r="J25" s="53" t="n">
        <x:f>IF(OR(D25="Contribution",D25="Reclassification"),F25,IF(D25="Withdrawal",-F25,0))</x:f>
        <x:v>0</x:v>
      </x:c>
      <x:c r="K25" s="53" t="n">
        <x:f>IF(D25="Fee",F25,0)</x:f>
        <x:v>0</x:v>
      </x:c>
      <x:c r="L25" s="38"/>
      <x:c r="M25" s="38"/>
      <x:c r="N25" s="38"/>
      <x:c r="O25" s="38"/>
      <x:c r="P25" s="38"/>
      <x:c r="Q25" s="38"/>
      <x:c r="R25" s="38"/>
      <x:c r="S25" s="38"/>
      <x:c r="T25" s="38"/>
      <x:c r="U25" s="38"/>
    </x:row>
    <x:row r="26" ht="23" customHeight="1">
      <x:c r="A26" s="38"/>
      <x:c r="B26" s="51" t="str">
        <x:v>T003</x:v>
      </x:c>
      <x:c r="C26" s="51" t="str">
        <x:v>2021-11-15</x:v>
      </x:c>
      <x:c r="D26" s="51" t="str">
        <x:v>Buy</x:v>
      </x:c>
      <x:c r="E26" s="51" t="str">
        <x:v>Technology</x:v>
      </x:c>
      <x:c r="F26" s="52" t="n">
        <x:v>50000</x:v>
      </x:c>
      <x:c r="G26" s="52" t="n">
        <x:v>98.81521549201459</x:v>
      </x:c>
      <x:c r="H26" s="53" t="n">
        <x:f>IF(D26="Buy",F26/G26,IF(D26="Sell",-F26/G26,0))</x:f>
        <x:v>505.99494977613625</x:v>
      </x:c>
      <x:c r="I26" s="53" t="n">
        <x:f>IF(OR(D26="Contribution",D26="Income",D26="Sell"),F26,IF(OR(D26="Buy",D26="Withdrawal",D26="Fee"),-F26,0))</x:f>
        <x:v>-50000</x:v>
      </x:c>
      <x:c r="J26" s="53" t="n">
        <x:f>IF(OR(D26="Contribution",D26="Reclassification"),F26,IF(D26="Withdrawal",-F26,0))</x:f>
        <x:v>0</x:v>
      </x:c>
      <x:c r="K26" s="53" t="n">
        <x:f>IF(D26="Fee",F26,0)</x:f>
        <x:v>0</x:v>
      </x:c>
      <x:c r="L26" s="38"/>
      <x:c r="M26" s="38"/>
      <x:c r="N26" s="38"/>
      <x:c r="O26" s="38"/>
      <x:c r="P26" s="38"/>
      <x:c r="Q26" s="38"/>
      <x:c r="R26" s="38"/>
      <x:c r="S26" s="38"/>
      <x:c r="T26" s="38"/>
      <x:c r="U26" s="38"/>
    </x:row>
    <x:row r="27" ht="23" customHeight="1">
      <x:c r="A27" s="38"/>
      <x:c r="B27" s="51" t="str">
        <x:v>T005</x:v>
      </x:c>
      <x:c r="C27" s="51" t="str">
        <x:v>2021-11-30</x:v>
      </x:c>
      <x:c r="D27" s="51" t="str">
        <x:v>Fee</x:v>
      </x:c>
      <x:c r="E27" s="51" t="str">
        <x:v>Cash</x:v>
      </x:c>
      <x:c r="F27" s="52" t="n">
        <x:v>250</x:v>
      </x:c>
      <x:c r="G27" s="52" t="n">
        <x:v>1</x:v>
      </x:c>
      <x:c r="H27" s="53" t="n">
        <x:f>IF(D27="Buy",F27/G27,IF(D27="Sell",-F27/G27,0))</x:f>
        <x:v>0</x:v>
      </x:c>
      <x:c r="I27" s="53" t="n">
        <x:f>IF(OR(D27="Contribution",D27="Income",D27="Sell"),F27,IF(OR(D27="Buy",D27="Withdrawal",D27="Fee"),-F27,0))</x:f>
        <x:v>-250</x:v>
      </x:c>
      <x:c r="J27" s="53" t="n">
        <x:f>IF(OR(D27="Contribution",D27="Reclassification"),F27,IF(D27="Withdrawal",-F27,0))</x:f>
        <x:v>0</x:v>
      </x:c>
      <x:c r="K27" s="53" t="n">
        <x:f>IF(D27="Fee",F27,0)</x:f>
        <x:v>250</x:v>
      </x:c>
      <x:c r="L27" s="38"/>
      <x:c r="M27" s="38"/>
      <x:c r="N27" s="38"/>
      <x:c r="O27" s="38"/>
      <x:c r="P27" s="38"/>
      <x:c r="Q27" s="38"/>
      <x:c r="R27" s="38"/>
      <x:c r="S27" s="38"/>
      <x:c r="T27" s="38"/>
      <x:c r="U27" s="38"/>
    </x:row>
    <x:row r="28" ht="23" customHeight="1">
      <x:c r="A28" s="38"/>
      <x:c r="B28" s="51" t="str">
        <x:v>T006</x:v>
      </x:c>
      <x:c r="C28" s="51" t="str">
        <x:v>2021-12-15</x:v>
      </x:c>
      <x:c r="D28" s="51" t="str">
        <x:v>Sell</x:v>
      </x:c>
      <x:c r="E28" s="51" t="str">
        <x:v>Oil &amp; Gas</x:v>
      </x:c>
      <x:c r="F28" s="52" t="n">
        <x:v>40000</x:v>
      </x:c>
      <x:c r="G28" s="52" t="n">
        <x:v>106.05456898303055</x:v>
      </x:c>
      <x:c r="H28" s="53" t="n">
        <x:f>IF(D28="Buy",F28/G28,IF(D28="Sell",-F28/G28,0))</x:f>
        <x:v>-377.16432571990623</x:v>
      </x:c>
      <x:c r="I28" s="53" t="n">
        <x:f>IF(OR(D28="Contribution",D28="Income",D28="Sell"),F28,IF(OR(D28="Buy",D28="Withdrawal",D28="Fee"),-F28,0))</x:f>
        <x:v>40000</x:v>
      </x:c>
      <x:c r="J28" s="53" t="n">
        <x:f>IF(OR(D28="Contribution",D28="Reclassification"),F28,IF(D28="Withdrawal",-F28,0))</x:f>
        <x:v>0</x:v>
      </x:c>
      <x:c r="K28" s="53" t="n">
        <x:f>IF(D28="Fee",F28,0)</x:f>
        <x:v>0</x:v>
      </x:c>
      <x:c r="L28" s="38"/>
      <x:c r="M28" s="38"/>
      <x:c r="N28" s="38"/>
      <x:c r="O28" s="38"/>
      <x:c r="P28" s="38"/>
      <x:c r="Q28" s="38"/>
      <x:c r="R28" s="38"/>
      <x:c r="S28" s="38"/>
      <x:c r="T28" s="38"/>
      <x:c r="U28" s="38"/>
    </x:row>
    <x:row r="29" ht="23" customHeight="1">
      <x:c r="A29" s="38"/>
      <x:c r="B29" s="51" t="str">
        <x:v>T007</x:v>
      </x:c>
      <x:c r="C29" s="51" t="str">
        <x:v>2021-12-15</x:v>
      </x:c>
      <x:c r="D29" s="51" t="str">
        <x:v>Withdrawal</x:v>
      </x:c>
      <x:c r="E29" s="51" t="str">
        <x:v>Cash</x:v>
      </x:c>
      <x:c r="F29" s="52" t="n">
        <x:v>50000</x:v>
      </x:c>
      <x:c r="G29" s="52" t="n">
        <x:v>1</x:v>
      </x:c>
      <x:c r="H29" s="53" t="n">
        <x:f>IF(D29="Buy",F29/G29,IF(D29="Sell",-F29/G29,0))</x:f>
        <x:v>0</x:v>
      </x:c>
      <x:c r="I29" s="53" t="n">
        <x:f>IF(OR(D29="Contribution",D29="Income",D29="Sell"),F29,IF(OR(D29="Buy",D29="Withdrawal",D29="Fee"),-F29,0))</x:f>
        <x:v>-50000</x:v>
      </x:c>
      <x:c r="J29" s="53" t="n">
        <x:f>IF(OR(D29="Contribution",D29="Reclassification"),F29,IF(D29="Withdrawal",-F29,0))</x:f>
        <x:v>-50000</x:v>
      </x:c>
      <x:c r="K29" s="53" t="n">
        <x:f>IF(D29="Fee",F29,0)</x:f>
        <x:v>0</x:v>
      </x:c>
      <x:c r="L29" s="38"/>
      <x:c r="M29" s="38"/>
      <x:c r="N29" s="38"/>
      <x:c r="O29" s="38"/>
      <x:c r="P29" s="38"/>
      <x:c r="Q29" s="38"/>
      <x:c r="R29" s="38"/>
      <x:c r="S29" s="38"/>
      <x:c r="T29" s="38"/>
      <x:c r="U29" s="38"/>
    </x:row>
    <x:row r="30" ht="23" customHeight="1">
      <x:c r="A30" s="38"/>
      <x:c r="B30" s="38"/>
      <x:c r="C30" s="38"/>
      <x:c r="D30" s="38"/>
      <x:c r="E30" s="38"/>
      <x:c r="F30" s="38"/>
      <x:c r="G30" s="38"/>
      <x:c r="H30" s="38"/>
      <x:c r="I30" s="38"/>
      <x:c r="J30" s="38"/>
      <x:c r="K30" s="38"/>
      <x:c r="L30" s="38"/>
      <x:c r="M30" s="38"/>
      <x:c r="N30" s="38"/>
      <x:c r="O30" s="38"/>
      <x:c r="P30" s="38"/>
      <x:c r="Q30" s="38"/>
      <x:c r="R30" s="38"/>
      <x:c r="S30" s="38"/>
      <x:c r="T30" s="38"/>
      <x:c r="U30" s="38"/>
    </x:row>
    <x:row r="31" ht="23" customHeight="1">
      <x:c r="A31" s="38"/>
      <x:c r="B31" s="38"/>
      <x:c r="C31" s="38"/>
      <x:c r="D31" s="38"/>
      <x:c r="E31" s="38"/>
      <x:c r="F31" s="38"/>
      <x:c r="G31" s="38"/>
      <x:c r="H31" s="38"/>
      <x:c r="I31" s="38"/>
      <x:c r="J31" s="38"/>
      <x:c r="K31" s="38"/>
      <x:c r="L31" s="38"/>
      <x:c r="M31" s="38"/>
      <x:c r="N31" s="38"/>
      <x:c r="O31" s="38"/>
      <x:c r="P31" s="38"/>
      <x:c r="Q31" s="38"/>
      <x:c r="R31" s="38"/>
      <x:c r="S31" s="38"/>
      <x:c r="T31" s="38"/>
      <x:c r="U31" s="38"/>
    </x:row>
    <x:row r="32" ht="23" customHeight="1">
      <x:c r="A32" s="38"/>
      <x:c r="B32" s="38"/>
      <x:c r="C32" s="38"/>
      <x:c r="D32" s="38"/>
      <x:c r="E32" s="38"/>
      <x:c r="F32" s="38"/>
      <x:c r="G32" s="38"/>
      <x:c r="H32" s="38"/>
      <x:c r="I32" s="38"/>
      <x:c r="J32" s="38"/>
      <x:c r="K32" s="38"/>
      <x:c r="L32" s="38"/>
      <x:c r="M32" s="38"/>
      <x:c r="N32" s="38"/>
      <x:c r="O32" s="38"/>
      <x:c r="P32" s="38"/>
      <x:c r="Q32" s="38"/>
      <x:c r="R32" s="38"/>
      <x:c r="S32" s="38"/>
      <x:c r="T32" s="38"/>
      <x:c r="U32" s="38"/>
    </x:row>
    <x:row r="33" ht="40" customHeight="1">
      <x:c r="A33" s="38"/>
      <x:c r="B33" s="40" t="str">
        <x:v>Corrections below restore the missing trade, book the fee, and reclassify the contribution without creating duplicate cash.</x:v>
      </x:c>
      <x:c r="C33" s="40"/>
      <x:c r="D33" s="40"/>
      <x:c r="E33" s="40"/>
      <x:c r="F33" s="40"/>
      <x:c r="G33" s="40"/>
      <x:c r="H33" s="40"/>
      <x:c r="I33" s="40"/>
      <x:c r="J33" s="40"/>
      <x:c r="K33" s="40"/>
      <x:c r="L33" s="38"/>
      <x:c r="M33" s="38"/>
      <x:c r="N33" s="38"/>
      <x:c r="O33" s="38"/>
      <x:c r="P33" s="38"/>
      <x:c r="Q33" s="38"/>
      <x:c r="R33" s="38"/>
      <x:c r="S33" s="38"/>
      <x:c r="T33" s="38"/>
      <x:c r="U33" s="38"/>
    </x:row>
    <x:row r="34" ht="23" customHeight="1">
      <x:c r="A34" s="38"/>
      <x:c r="B34" s="38"/>
      <x:c r="C34" s="38"/>
      <x:c r="D34" s="38"/>
      <x:c r="E34" s="38"/>
      <x:c r="F34" s="38"/>
      <x:c r="G34" s="38"/>
      <x:c r="H34" s="38"/>
      <x:c r="I34" s="38"/>
      <x:c r="J34" s="38"/>
      <x:c r="K34" s="38"/>
      <x:c r="L34" s="38"/>
      <x:c r="M34" s="38"/>
      <x:c r="N34" s="38"/>
      <x:c r="O34" s="38"/>
      <x:c r="P34" s="38"/>
      <x:c r="Q34" s="38"/>
      <x:c r="R34" s="38"/>
      <x:c r="S34" s="38"/>
      <x:c r="T34" s="38"/>
      <x:c r="U34" s="38"/>
    </x:row>
    <x:row r="35" ht="34" customHeight="1">
      <x:c r="A35" s="38"/>
      <x:c r="B35" s="41" t="str">
        <x:v>ID</x:v>
      </x:c>
      <x:c r="C35" s="41" t="str">
        <x:v>Date</x:v>
      </x:c>
      <x:c r="D35" s="41" t="str">
        <x:v>Type</x:v>
      </x:c>
      <x:c r="E35" s="41" t="str">
        <x:v>Sleeve</x:v>
      </x:c>
      <x:c r="F35" s="41" t="str">
        <x:v>Amount</x:v>
      </x:c>
      <x:c r="G35" s="41" t="str">
        <x:v>Execution price</x:v>
      </x:c>
      <x:c r="H35" s="41" t="str">
        <x:v>Unit delta</x:v>
      </x:c>
      <x:c r="I35" s="41" t="str">
        <x:v>Cash delta</x:v>
      </x:c>
      <x:c r="J35" s="41" t="str">
        <x:v>External flow</x:v>
      </x:c>
      <x:c r="K35" s="41" t="str">
        <x:v>Fee</x:v>
      </x:c>
      <x:c r="L35" s="38"/>
      <x:c r="M35" s="38"/>
      <x:c r="N35" s="38"/>
      <x:c r="O35" s="38"/>
      <x:c r="P35" s="38"/>
      <x:c r="Q35" s="38"/>
      <x:c r="R35" s="38"/>
      <x:c r="S35" s="38"/>
      <x:c r="T35" s="38"/>
      <x:c r="U35" s="38"/>
    </x:row>
    <x:row r="36" ht="23" customHeight="1">
      <x:c r="A36" s="38"/>
      <x:c r="B36" s="51" t="str">
        <x:v>A001</x:v>
      </x:c>
      <x:c r="C36" s="51" t="str">
        <x:v>2021-11-15</x:v>
      </x:c>
      <x:c r="D36" s="51" t="str">
        <x:v>Buy</x:v>
      </x:c>
      <x:c r="E36" s="51" t="str">
        <x:v>Renewables</x:v>
      </x:c>
      <x:c r="F36" s="52" t="n">
        <x:v>40000</x:v>
      </x:c>
      <x:c r="G36" s="52" t="n">
        <x:v>100.96425625092368</x:v>
      </x:c>
      <x:c r="H36" s="53" t="n">
        <x:f>IF(D36="Buy",F36/G36,IF(D36="Sell",-F36/G36,0))</x:f>
        <x:v>396.1798114036427</x:v>
      </x:c>
      <x:c r="I36" s="53" t="n">
        <x:f>IF(OR(D36="Contribution",D36="Income",D36="Sell"),F36,IF(OR(D36="Buy",D36="Withdrawal",D36="Fee"),-F36,0))</x:f>
        <x:v>-40000</x:v>
      </x:c>
      <x:c r="J36" s="53" t="n">
        <x:f>IF(OR(D36="Contribution",D36="Reclassification"),F36,IF(D36="Withdrawal",-F36,0))</x:f>
        <x:v>0</x:v>
      </x:c>
      <x:c r="K36" s="53" t="n">
        <x:f>IF(D36="Fee",F36,0)</x:f>
        <x:v>0</x:v>
      </x:c>
      <x:c r="L36" s="38"/>
      <x:c r="M36" s="38"/>
      <x:c r="N36" s="38"/>
      <x:c r="O36" s="38"/>
      <x:c r="P36" s="38"/>
      <x:c r="Q36" s="38"/>
      <x:c r="R36" s="38"/>
      <x:c r="S36" s="38"/>
      <x:c r="T36" s="38"/>
      <x:c r="U36" s="38"/>
    </x:row>
    <x:row r="37" ht="23" customHeight="1">
      <x:c r="A37" s="38"/>
      <x:c r="B37" s="51" t="str">
        <x:v>A002</x:v>
      </x:c>
      <x:c r="C37" s="51" t="str">
        <x:v>2021-12-31</x:v>
      </x:c>
      <x:c r="D37" s="51" t="str">
        <x:v>Fee</x:v>
      </x:c>
      <x:c r="E37" s="51" t="str">
        <x:v>Cash</x:v>
      </x:c>
      <x:c r="F37" s="52" t="n">
        <x:v>250</x:v>
      </x:c>
      <x:c r="G37" s="52" t="n">
        <x:v>1</x:v>
      </x:c>
      <x:c r="H37" s="53" t="n">
        <x:f>IF(D37="Buy",F37/G37,IF(D37="Sell",-F37/G37,0))</x:f>
        <x:v>0</x:v>
      </x:c>
      <x:c r="I37" s="53" t="n">
        <x:f>IF(OR(D37="Contribution",D37="Income",D37="Sell"),F37,IF(OR(D37="Buy",D37="Withdrawal",D37="Fee"),-F37,0))</x:f>
        <x:v>-250</x:v>
      </x:c>
      <x:c r="J37" s="53" t="n">
        <x:f>IF(OR(D37="Contribution",D37="Reclassification"),F37,IF(D37="Withdrawal",-F37,0))</x:f>
        <x:v>0</x:v>
      </x:c>
      <x:c r="K37" s="53" t="n">
        <x:f>IF(D37="Fee",F37,0)</x:f>
        <x:v>250</x:v>
      </x:c>
      <x:c r="L37" s="38"/>
      <x:c r="M37" s="38"/>
      <x:c r="N37" s="38"/>
      <x:c r="O37" s="38"/>
      <x:c r="P37" s="38"/>
      <x:c r="Q37" s="38"/>
      <x:c r="R37" s="38"/>
      <x:c r="S37" s="38"/>
      <x:c r="T37" s="38"/>
      <x:c r="U37" s="38"/>
    </x:row>
    <x:row r="38" ht="23" customHeight="1">
      <x:c r="A38" s="38"/>
      <x:c r="B38" s="51" t="str">
        <x:v>A003</x:v>
      </x:c>
      <x:c r="C38" s="51" t="str">
        <x:v>2021-11-15</x:v>
      </x:c>
      <x:c r="D38" s="51" t="str">
        <x:v>Reclassification</x:v>
      </x:c>
      <x:c r="E38" s="51" t="str">
        <x:v>Cash</x:v>
      </x:c>
      <x:c r="F38" s="52" t="n">
        <x:v>100000</x:v>
      </x:c>
      <x:c r="G38" s="52" t="n">
        <x:v>1</x:v>
      </x:c>
      <x:c r="H38" s="53" t="n">
        <x:f>IF(D38="Buy",F38/G38,IF(D38="Sell",-F38/G38,0))</x:f>
        <x:v>0</x:v>
      </x:c>
      <x:c r="I38" s="53" t="n">
        <x:f>IF(OR(D38="Contribution",D38="Income",D38="Sell"),F38,IF(OR(D38="Buy",D38="Withdrawal",D38="Fee"),-F38,0))</x:f>
        <x:v>0</x:v>
      </x:c>
      <x:c r="J38" s="53" t="n">
        <x:f>IF(OR(D38="Contribution",D38="Reclassification"),F38,IF(D38="Withdrawal",-F38,0))</x:f>
        <x:v>100000</x:v>
      </x:c>
      <x:c r="K38" s="53" t="n">
        <x:f>IF(D38="Fee",F38,0)</x:f>
        <x:v>0</x:v>
      </x:c>
      <x:c r="L38" s="38"/>
      <x:c r="M38" s="38"/>
      <x:c r="N38" s="38"/>
      <x:c r="O38" s="38"/>
      <x:c r="P38" s="38"/>
      <x:c r="Q38" s="38"/>
      <x:c r="R38" s="38"/>
      <x:c r="S38" s="38"/>
      <x:c r="T38" s="38"/>
      <x:c r="U38" s="38"/>
    </x:row>
    <x:row r="39" ht="23" customHeight="1">
      <x:c r="A39" s="38"/>
      <x:c r="B39" s="38"/>
      <x:c r="C39" s="38"/>
      <x:c r="D39" s="38"/>
      <x:c r="E39" s="38"/>
      <x:c r="F39" s="38"/>
      <x:c r="G39" s="38"/>
      <x:c r="H39" s="38"/>
      <x:c r="I39" s="38"/>
      <x:c r="J39" s="38"/>
      <x:c r="K39" s="38"/>
      <x:c r="L39" s="38"/>
      <x:c r="M39" s="38"/>
      <x:c r="N39" s="38"/>
      <x:c r="O39" s="38"/>
      <x:c r="P39" s="38"/>
      <x:c r="Q39" s="38"/>
      <x:c r="R39" s="38"/>
      <x:c r="S39" s="38"/>
      <x:c r="T39" s="38"/>
      <x:c r="U39" s="38"/>
    </x:row>
    <x:row r="40" ht="23" customHeight="1">
      <x:c r="A40" s="38"/>
      <x:c r="B40" s="38"/>
      <x:c r="C40" s="38"/>
      <x:c r="D40" s="38"/>
      <x:c r="E40" s="38"/>
      <x:c r="F40" s="38"/>
      <x:c r="G40" s="38"/>
      <x:c r="H40" s="38"/>
      <x:c r="I40" s="38"/>
      <x:c r="J40" s="38"/>
      <x:c r="K40" s="38"/>
      <x:c r="L40" s="38"/>
      <x:c r="M40" s="38"/>
      <x:c r="N40" s="38"/>
      <x:c r="O40" s="38"/>
      <x:c r="P40" s="38"/>
      <x:c r="Q40" s="38"/>
      <x:c r="R40" s="38"/>
      <x:c r="S40" s="38"/>
      <x:c r="T40" s="38"/>
      <x:c r="U40" s="38"/>
    </x:row>
    <x:row r="41" ht="48" customHeight="1">
      <x:c r="A41" s="38"/>
      <x:c r="B41" s="40" t="str">
        <x:v>The stale technology price is corrected in Positions by applying the statement valuation price; it does not create a cash transaction. Source CSV files are preserved in 03_Source_Materials.</x:v>
      </x:c>
      <x:c r="C41" s="40"/>
      <x:c r="D41" s="40"/>
      <x:c r="E41" s="40"/>
      <x:c r="F41" s="40"/>
      <x:c r="G41" s="40"/>
      <x:c r="H41" s="40"/>
      <x:c r="I41" s="40"/>
      <x:c r="J41" s="40"/>
      <x:c r="K41" s="40"/>
      <x:c r="L41" s="38"/>
      <x:c r="M41" s="38"/>
      <x:c r="N41" s="38"/>
      <x:c r="O41" s="38"/>
      <x:c r="P41" s="38"/>
      <x:c r="Q41" s="38"/>
      <x:c r="R41" s="38"/>
      <x:c r="S41" s="38"/>
      <x:c r="T41" s="38"/>
      <x:c r="U41" s="38"/>
    </x:row>
    <x:row r="42" ht="23" customHeight="1">
      <x:c r="A42" s="38"/>
      <x:c r="B42" s="38"/>
      <x:c r="C42" s="38"/>
      <x:c r="D42" s="38"/>
      <x:c r="E42" s="38"/>
      <x:c r="F42" s="38"/>
      <x:c r="G42" s="38"/>
      <x:c r="H42" s="38"/>
      <x:c r="I42" s="38"/>
      <x:c r="J42" s="38"/>
      <x:c r="K42" s="38"/>
      <x:c r="L42" s="38"/>
      <x:c r="M42" s="38"/>
      <x:c r="N42" s="38"/>
      <x:c r="O42" s="38"/>
      <x:c r="P42" s="38"/>
      <x:c r="Q42" s="38"/>
      <x:c r="R42" s="38"/>
      <x:c r="S42" s="38"/>
      <x:c r="T42" s="38"/>
      <x:c r="U42" s="38"/>
    </x:row>
    <x:row r="43" ht="23" customHeight="1">
      <x:c r="A43" s="38"/>
      <x:c r="B43" s="38"/>
      <x:c r="C43" s="38"/>
      <x:c r="D43" s="38"/>
      <x:c r="E43" s="38"/>
      <x:c r="F43" s="38"/>
      <x:c r="G43" s="38"/>
      <x:c r="H43" s="38"/>
      <x:c r="I43" s="38"/>
      <x:c r="J43" s="38"/>
      <x:c r="K43" s="38"/>
      <x:c r="L43" s="38"/>
      <x:c r="M43" s="38"/>
      <x:c r="N43" s="38"/>
      <x:c r="O43" s="38"/>
      <x:c r="P43" s="38"/>
      <x:c r="Q43" s="38"/>
      <x:c r="R43" s="38"/>
      <x:c r="S43" s="38"/>
      <x:c r="T43" s="38"/>
      <x:c r="U43" s="38"/>
    </x:row>
    <x:row r="44" ht="23" customHeight="1">
      <x:c r="A44" s="38"/>
      <x:c r="B44" s="38"/>
      <x:c r="C44" s="38"/>
      <x:c r="D44" s="38"/>
      <x:c r="E44" s="38"/>
      <x:c r="F44" s="38"/>
      <x:c r="G44" s="38"/>
      <x:c r="H44" s="38"/>
      <x:c r="I44" s="38"/>
      <x:c r="J44" s="38"/>
      <x:c r="K44" s="38"/>
      <x:c r="L44" s="38"/>
      <x:c r="M44" s="38"/>
      <x:c r="N44" s="38"/>
      <x:c r="O44" s="38"/>
      <x:c r="P44" s="38"/>
      <x:c r="Q44" s="38"/>
      <x:c r="R44" s="38"/>
      <x:c r="S44" s="38"/>
      <x:c r="T44" s="38"/>
      <x:c r="U44" s="38"/>
    </x:row>
    <x:row r="45" ht="23" customHeight="1">
      <x:c r="A45" s="38"/>
      <x:c r="B45" s="38"/>
      <x:c r="C45" s="38"/>
      <x:c r="D45" s="38"/>
      <x:c r="E45" s="38"/>
      <x:c r="F45" s="38"/>
      <x:c r="G45" s="38"/>
      <x:c r="H45" s="38"/>
      <x:c r="I45" s="38"/>
      <x:c r="J45" s="38"/>
      <x:c r="K45" s="38"/>
      <x:c r="L45" s="38"/>
      <x:c r="M45" s="38"/>
      <x:c r="N45" s="38"/>
      <x:c r="O45" s="38"/>
      <x:c r="P45" s="38"/>
      <x:c r="Q45" s="38"/>
      <x:c r="R45" s="38"/>
      <x:c r="S45" s="38"/>
      <x:c r="T45" s="38"/>
      <x:c r="U45" s="38"/>
    </x:row>
    <x:row r="46" ht="23" customHeight="1">
      <x:c r="A46" s="38"/>
      <x:c r="B46" s="38"/>
      <x:c r="C46" s="38"/>
      <x:c r="D46" s="38"/>
      <x:c r="E46" s="38"/>
      <x:c r="F46" s="38"/>
      <x:c r="G46" s="38"/>
      <x:c r="H46" s="38"/>
      <x:c r="I46" s="38"/>
      <x:c r="J46" s="38"/>
      <x:c r="K46" s="38"/>
      <x:c r="L46" s="38"/>
      <x:c r="M46" s="38"/>
      <x:c r="N46" s="38"/>
      <x:c r="O46" s="38"/>
      <x:c r="P46" s="38"/>
      <x:c r="Q46" s="38"/>
      <x:c r="R46" s="38"/>
      <x:c r="S46" s="38"/>
      <x:c r="T46" s="38"/>
      <x:c r="U46" s="38"/>
    </x:row>
    <x:row r="47" ht="23" customHeight="1">
      <x:c r="A47" s="38"/>
      <x:c r="B47" s="38"/>
      <x:c r="C47" s="38"/>
      <x:c r="D47" s="38"/>
      <x:c r="E47" s="38"/>
      <x:c r="F47" s="38"/>
      <x:c r="G47" s="38"/>
      <x:c r="H47" s="38"/>
      <x:c r="I47" s="38"/>
      <x:c r="J47" s="38"/>
      <x:c r="K47" s="38"/>
      <x:c r="L47" s="38"/>
      <x:c r="M47" s="38"/>
      <x:c r="N47" s="38"/>
      <x:c r="O47" s="38"/>
      <x:c r="P47" s="38"/>
      <x:c r="Q47" s="38"/>
      <x:c r="R47" s="38"/>
      <x:c r="S47" s="38"/>
      <x:c r="T47" s="38"/>
      <x:c r="U47" s="38"/>
    </x:row>
    <x:row r="48" ht="23" customHeight="1">
      <x:c r="A48" s="38"/>
      <x:c r="B48" s="38"/>
      <x:c r="C48" s="38"/>
      <x:c r="D48" s="38"/>
      <x:c r="E48" s="38"/>
      <x:c r="F48" s="38"/>
      <x:c r="G48" s="38"/>
      <x:c r="H48" s="38"/>
      <x:c r="I48" s="38"/>
      <x:c r="J48" s="38"/>
      <x:c r="K48" s="38"/>
      <x:c r="L48" s="38"/>
      <x:c r="M48" s="38"/>
      <x:c r="N48" s="38"/>
      <x:c r="O48" s="38"/>
      <x:c r="P48" s="38"/>
      <x:c r="Q48" s="38"/>
      <x:c r="R48" s="38"/>
      <x:c r="S48" s="38"/>
      <x:c r="T48" s="38"/>
      <x:c r="U48" s="38"/>
    </x:row>
    <x:row r="49" ht="23" customHeight="1">
      <x:c r="A49" s="38"/>
      <x:c r="B49" s="38"/>
      <x:c r="C49" s="38"/>
      <x:c r="D49" s="38"/>
      <x:c r="E49" s="38"/>
      <x:c r="F49" s="38"/>
      <x:c r="G49" s="38"/>
      <x:c r="H49" s="38"/>
      <x:c r="I49" s="38"/>
      <x:c r="J49" s="38"/>
      <x:c r="K49" s="38"/>
      <x:c r="L49" s="38"/>
      <x:c r="M49" s="38"/>
      <x:c r="N49" s="38"/>
      <x:c r="O49" s="38"/>
      <x:c r="P49" s="38"/>
      <x:c r="Q49" s="38"/>
      <x:c r="R49" s="38"/>
      <x:c r="S49" s="38"/>
      <x:c r="T49" s="38"/>
      <x:c r="U49" s="38"/>
    </x:row>
    <x:row r="50" ht="23" customHeight="1">
      <x:c r="A50" s="38"/>
      <x:c r="B50" s="38"/>
      <x:c r="C50" s="38"/>
      <x:c r="D50" s="38"/>
      <x:c r="E50" s="38"/>
      <x:c r="F50" s="38"/>
      <x:c r="G50" s="38"/>
      <x:c r="H50" s="38"/>
      <x:c r="I50" s="38"/>
      <x:c r="J50" s="38"/>
      <x:c r="K50" s="38"/>
      <x:c r="L50" s="38"/>
      <x:c r="M50" s="38"/>
      <x:c r="N50" s="38"/>
      <x:c r="O50" s="38"/>
      <x:c r="P50" s="38"/>
      <x:c r="Q50" s="38"/>
      <x:c r="R50" s="38"/>
      <x:c r="S50" s="38"/>
      <x:c r="T50" s="38"/>
      <x:c r="U50" s="38"/>
    </x:row>
    <x:row r="51" ht="23" customHeight="1">
      <x:c r="A51" s="38"/>
      <x:c r="B51" s="38"/>
      <x:c r="C51" s="38"/>
      <x:c r="D51" s="38"/>
      <x:c r="E51" s="38"/>
      <x:c r="F51" s="38"/>
      <x:c r="G51" s="38"/>
      <x:c r="H51" s="38"/>
      <x:c r="I51" s="38"/>
      <x:c r="J51" s="38"/>
      <x:c r="K51" s="38"/>
      <x:c r="L51" s="38"/>
      <x:c r="M51" s="38"/>
      <x:c r="N51" s="38"/>
      <x:c r="O51" s="38"/>
      <x:c r="P51" s="38"/>
      <x:c r="Q51" s="38"/>
      <x:c r="R51" s="38"/>
      <x:c r="S51" s="38"/>
      <x:c r="T51" s="38"/>
      <x:c r="U51" s="38"/>
    </x:row>
    <x:row r="52" ht="23" customHeight="1">
      <x:c r="A52" s="38"/>
      <x:c r="B52" s="38"/>
      <x:c r="C52" s="38"/>
      <x:c r="D52" s="38"/>
      <x:c r="E52" s="38"/>
      <x:c r="F52" s="38"/>
      <x:c r="G52" s="38"/>
      <x:c r="H52" s="38"/>
      <x:c r="I52" s="38"/>
      <x:c r="J52" s="38"/>
      <x:c r="K52" s="38"/>
      <x:c r="L52" s="38"/>
      <x:c r="M52" s="38"/>
      <x:c r="N52" s="38"/>
      <x:c r="O52" s="38"/>
      <x:c r="P52" s="38"/>
      <x:c r="Q52" s="38"/>
      <x:c r="R52" s="38"/>
      <x:c r="S52" s="38"/>
      <x:c r="T52" s="38"/>
      <x:c r="U52" s="38"/>
    </x:row>
    <x:row r="53" ht="23" customHeight="1">
      <x:c r="A53" s="38"/>
      <x:c r="B53" s="38"/>
      <x:c r="C53" s="38"/>
      <x:c r="D53" s="38"/>
      <x:c r="E53" s="38"/>
      <x:c r="F53" s="38"/>
      <x:c r="G53" s="38"/>
      <x:c r="H53" s="38"/>
      <x:c r="I53" s="38"/>
      <x:c r="J53" s="38"/>
      <x:c r="K53" s="38"/>
      <x:c r="L53" s="38"/>
      <x:c r="M53" s="38"/>
      <x:c r="N53" s="38"/>
      <x:c r="O53" s="38"/>
      <x:c r="P53" s="38"/>
      <x:c r="Q53" s="38"/>
      <x:c r="R53" s="38"/>
      <x:c r="S53" s="38"/>
      <x:c r="T53" s="38"/>
      <x:c r="U53" s="38"/>
    </x:row>
    <x:row r="54" ht="23" customHeight="1">
      <x:c r="A54" s="38"/>
      <x:c r="B54" s="38"/>
      <x:c r="C54" s="38"/>
      <x:c r="D54" s="38"/>
      <x:c r="E54" s="38"/>
      <x:c r="F54" s="38"/>
      <x:c r="G54" s="38"/>
      <x:c r="H54" s="38"/>
      <x:c r="I54" s="38"/>
      <x:c r="J54" s="38"/>
      <x:c r="K54" s="38"/>
      <x:c r="L54" s="38"/>
      <x:c r="M54" s="38"/>
      <x:c r="N54" s="38"/>
      <x:c r="O54" s="38"/>
      <x:c r="P54" s="38"/>
      <x:c r="Q54" s="38"/>
      <x:c r="R54" s="38"/>
      <x:c r="S54" s="38"/>
      <x:c r="T54" s="38"/>
      <x:c r="U54" s="38"/>
    </x:row>
    <x:row r="55" ht="23" customHeight="1">
      <x:c r="A55" s="38"/>
      <x:c r="B55" s="38"/>
      <x:c r="C55" s="38"/>
      <x:c r="D55" s="38"/>
      <x:c r="E55" s="38"/>
      <x:c r="F55" s="38"/>
      <x:c r="G55" s="38"/>
      <x:c r="H55" s="38"/>
      <x:c r="I55" s="38"/>
      <x:c r="J55" s="38"/>
      <x:c r="K55" s="38"/>
      <x:c r="L55" s="38"/>
      <x:c r="M55" s="38"/>
      <x:c r="N55" s="38"/>
      <x:c r="O55" s="38"/>
      <x:c r="P55" s="38"/>
      <x:c r="Q55" s="38"/>
      <x:c r="R55" s="38"/>
      <x:c r="S55" s="38"/>
      <x:c r="T55" s="38"/>
      <x:c r="U55" s="38"/>
    </x:row>
    <x:row r="56" ht="23" customHeight="1">
      <x:c r="A56" s="38"/>
      <x:c r="B56" s="38"/>
      <x:c r="C56" s="38"/>
      <x:c r="D56" s="38"/>
      <x:c r="E56" s="38"/>
      <x:c r="F56" s="38"/>
      <x:c r="G56" s="38"/>
      <x:c r="H56" s="38"/>
      <x:c r="I56" s="38"/>
      <x:c r="J56" s="38"/>
      <x:c r="K56" s="38"/>
      <x:c r="L56" s="38"/>
      <x:c r="M56" s="38"/>
      <x:c r="N56" s="38"/>
      <x:c r="O56" s="38"/>
      <x:c r="P56" s="38"/>
      <x:c r="Q56" s="38"/>
      <x:c r="R56" s="38"/>
      <x:c r="S56" s="38"/>
      <x:c r="T56" s="38"/>
      <x:c r="U56" s="38"/>
    </x:row>
    <x:row r="57" ht="23" customHeight="1">
      <x:c r="A57" s="38"/>
      <x:c r="B57" s="38"/>
      <x:c r="C57" s="38"/>
      <x:c r="D57" s="38"/>
      <x:c r="E57" s="38"/>
      <x:c r="F57" s="38"/>
      <x:c r="G57" s="38"/>
      <x:c r="H57" s="38"/>
      <x:c r="I57" s="38"/>
      <x:c r="J57" s="38"/>
      <x:c r="K57" s="38"/>
      <x:c r="L57" s="38"/>
      <x:c r="M57" s="38"/>
      <x:c r="N57" s="38"/>
      <x:c r="O57" s="38"/>
      <x:c r="P57" s="38"/>
      <x:c r="Q57" s="38"/>
      <x:c r="R57" s="38"/>
      <x:c r="S57" s="38"/>
      <x:c r="T57" s="38"/>
      <x:c r="U57" s="38"/>
    </x:row>
    <x:row r="58" ht="23" customHeight="1">
      <x:c r="A58" s="38"/>
      <x:c r="B58" s="38"/>
      <x:c r="C58" s="38"/>
      <x:c r="D58" s="38"/>
      <x:c r="E58" s="38"/>
      <x:c r="F58" s="38"/>
      <x:c r="G58" s="38"/>
      <x:c r="H58" s="38"/>
      <x:c r="I58" s="38"/>
      <x:c r="J58" s="38"/>
      <x:c r="K58" s="38"/>
      <x:c r="L58" s="38"/>
      <x:c r="M58" s="38"/>
      <x:c r="N58" s="38"/>
      <x:c r="O58" s="38"/>
      <x:c r="P58" s="38"/>
      <x:c r="Q58" s="38"/>
      <x:c r="R58" s="38"/>
      <x:c r="S58" s="38"/>
      <x:c r="T58" s="38"/>
      <x:c r="U58" s="38"/>
    </x:row>
    <x:row r="59" ht="23" customHeight="1">
      <x:c r="A59" s="38"/>
      <x:c r="B59" s="38"/>
      <x:c r="C59" s="38"/>
      <x:c r="D59" s="38"/>
      <x:c r="E59" s="38"/>
      <x:c r="F59" s="38"/>
      <x:c r="G59" s="38"/>
      <x:c r="H59" s="38"/>
      <x:c r="I59" s="38"/>
      <x:c r="J59" s="38"/>
      <x:c r="K59" s="38"/>
      <x:c r="L59" s="38"/>
      <x:c r="M59" s="38"/>
      <x:c r="N59" s="38"/>
      <x:c r="O59" s="38"/>
      <x:c r="P59" s="38"/>
      <x:c r="Q59" s="38"/>
      <x:c r="R59" s="38"/>
      <x:c r="S59" s="38"/>
      <x:c r="T59" s="38"/>
      <x:c r="U59" s="38"/>
    </x:row>
    <x:row r="60" ht="23" customHeight="1">
      <x:c r="A60" s="38"/>
      <x:c r="B60" s="38"/>
      <x:c r="C60" s="38"/>
      <x:c r="D60" s="38"/>
      <x:c r="E60" s="38"/>
      <x:c r="F60" s="38"/>
      <x:c r="G60" s="38"/>
      <x:c r="H60" s="38"/>
      <x:c r="I60" s="38"/>
      <x:c r="J60" s="38"/>
      <x:c r="K60" s="38"/>
      <x:c r="L60" s="38"/>
      <x:c r="M60" s="38"/>
      <x:c r="N60" s="38"/>
      <x:c r="O60" s="38"/>
      <x:c r="P60" s="38"/>
      <x:c r="Q60" s="38"/>
      <x:c r="R60" s="38"/>
      <x:c r="S60" s="38"/>
      <x:c r="T60" s="38"/>
      <x:c r="U60" s="38"/>
    </x:row>
    <x:row r="61" ht="23" customHeight="1">
      <x:c r="A61" s="38"/>
      <x:c r="B61" s="38"/>
      <x:c r="C61" s="38"/>
      <x:c r="D61" s="38"/>
      <x:c r="E61" s="38"/>
      <x:c r="F61" s="38"/>
      <x:c r="G61" s="38"/>
      <x:c r="H61" s="38"/>
      <x:c r="I61" s="38"/>
      <x:c r="J61" s="38"/>
      <x:c r="K61" s="38"/>
      <x:c r="L61" s="38"/>
      <x:c r="M61" s="38"/>
      <x:c r="N61" s="38"/>
      <x:c r="O61" s="38"/>
      <x:c r="P61" s="38"/>
      <x:c r="Q61" s="38"/>
      <x:c r="R61" s="38"/>
      <x:c r="S61" s="38"/>
      <x:c r="T61" s="38"/>
      <x:c r="U61" s="38"/>
    </x:row>
    <x:row r="62" ht="23" customHeight="1">
      <x:c r="A62" s="38"/>
      <x:c r="B62" s="38"/>
      <x:c r="C62" s="38"/>
      <x:c r="D62" s="38"/>
      <x:c r="E62" s="38"/>
      <x:c r="F62" s="38"/>
      <x:c r="G62" s="38"/>
      <x:c r="H62" s="38"/>
      <x:c r="I62" s="38"/>
      <x:c r="J62" s="38"/>
      <x:c r="K62" s="38"/>
      <x:c r="L62" s="38"/>
      <x:c r="M62" s="38"/>
      <x:c r="N62" s="38"/>
      <x:c r="O62" s="38"/>
      <x:c r="P62" s="38"/>
      <x:c r="Q62" s="38"/>
      <x:c r="R62" s="38"/>
      <x:c r="S62" s="38"/>
      <x:c r="T62" s="38"/>
      <x:c r="U62" s="38"/>
    </x:row>
    <x:row r="63" ht="23" customHeight="1">
      <x:c r="A63" s="38"/>
      <x:c r="B63" s="38"/>
      <x:c r="C63" s="38"/>
      <x:c r="D63" s="38"/>
      <x:c r="E63" s="38"/>
      <x:c r="F63" s="38"/>
      <x:c r="G63" s="38"/>
      <x:c r="H63" s="38"/>
      <x:c r="I63" s="38"/>
      <x:c r="J63" s="38"/>
      <x:c r="K63" s="38"/>
      <x:c r="L63" s="38"/>
      <x:c r="M63" s="38"/>
      <x:c r="N63" s="38"/>
      <x:c r="O63" s="38"/>
      <x:c r="P63" s="38"/>
      <x:c r="Q63" s="38"/>
      <x:c r="R63" s="38"/>
      <x:c r="S63" s="38"/>
      <x:c r="T63" s="38"/>
      <x:c r="U63" s="38"/>
    </x:row>
    <x:row r="64" ht="23" customHeight="1">
      <x:c r="A64" s="38"/>
      <x:c r="B64" s="38"/>
      <x:c r="C64" s="38"/>
      <x:c r="D64" s="38"/>
      <x:c r="E64" s="38"/>
      <x:c r="F64" s="38"/>
      <x:c r="G64" s="38"/>
      <x:c r="H64" s="38"/>
      <x:c r="I64" s="38"/>
      <x:c r="J64" s="38"/>
      <x:c r="K64" s="38"/>
      <x:c r="L64" s="38"/>
      <x:c r="M64" s="38"/>
      <x:c r="N64" s="38"/>
      <x:c r="O64" s="38"/>
      <x:c r="P64" s="38"/>
      <x:c r="Q64" s="38"/>
      <x:c r="R64" s="38"/>
      <x:c r="S64" s="38"/>
      <x:c r="T64" s="38"/>
      <x:c r="U64" s="38"/>
    </x:row>
    <x:row r="65" ht="23" customHeight="1">
      <x:c r="A65" s="38"/>
      <x:c r="B65" s="38"/>
      <x:c r="C65" s="38"/>
      <x:c r="D65" s="38"/>
      <x:c r="E65" s="38"/>
      <x:c r="F65" s="38"/>
      <x:c r="G65" s="38"/>
      <x:c r="H65" s="38"/>
      <x:c r="I65" s="38"/>
      <x:c r="J65" s="38"/>
      <x:c r="K65" s="38"/>
      <x:c r="L65" s="38"/>
      <x:c r="M65" s="38"/>
      <x:c r="N65" s="38"/>
      <x:c r="O65" s="38"/>
      <x:c r="P65" s="38"/>
      <x:c r="Q65" s="38"/>
      <x:c r="R65" s="38"/>
      <x:c r="S65" s="38"/>
      <x:c r="T65" s="38"/>
      <x:c r="U65" s="38"/>
    </x:row>
    <x:row r="66" ht="23" customHeight="1">
      <x:c r="A66" s="38"/>
      <x:c r="B66" s="38"/>
      <x:c r="C66" s="38"/>
      <x:c r="D66" s="38"/>
      <x:c r="E66" s="38"/>
      <x:c r="F66" s="38"/>
      <x:c r="G66" s="38"/>
      <x:c r="H66" s="38"/>
      <x:c r="I66" s="38"/>
      <x:c r="J66" s="38"/>
      <x:c r="K66" s="38"/>
      <x:c r="L66" s="38"/>
      <x:c r="M66" s="38"/>
      <x:c r="N66" s="38"/>
      <x:c r="O66" s="38"/>
      <x:c r="P66" s="38"/>
      <x:c r="Q66" s="38"/>
      <x:c r="R66" s="38"/>
      <x:c r="S66" s="38"/>
      <x:c r="T66" s="38"/>
      <x:c r="U66" s="38"/>
    </x:row>
    <x:row r="67" ht="23" customHeight="1">
      <x:c r="A67" s="38"/>
      <x:c r="B67" s="38"/>
      <x:c r="C67" s="38"/>
      <x:c r="D67" s="38"/>
      <x:c r="E67" s="38"/>
      <x:c r="F67" s="38"/>
      <x:c r="G67" s="38"/>
      <x:c r="H67" s="38"/>
      <x:c r="I67" s="38"/>
      <x:c r="J67" s="38"/>
      <x:c r="K67" s="38"/>
      <x:c r="L67" s="38"/>
      <x:c r="M67" s="38"/>
      <x:c r="N67" s="38"/>
      <x:c r="O67" s="38"/>
      <x:c r="P67" s="38"/>
      <x:c r="Q67" s="38"/>
      <x:c r="R67" s="38"/>
      <x:c r="S67" s="38"/>
      <x:c r="T67" s="38"/>
      <x:c r="U67" s="38"/>
    </x:row>
    <x:row r="68" ht="23" customHeight="1">
      <x:c r="A68" s="38"/>
      <x:c r="B68" s="38"/>
      <x:c r="C68" s="38"/>
      <x:c r="D68" s="38"/>
      <x:c r="E68" s="38"/>
      <x:c r="F68" s="38"/>
      <x:c r="G68" s="38"/>
      <x:c r="H68" s="38"/>
      <x:c r="I68" s="38"/>
      <x:c r="J68" s="38"/>
      <x:c r="K68" s="38"/>
      <x:c r="L68" s="38"/>
      <x:c r="M68" s="38"/>
      <x:c r="N68" s="38"/>
      <x:c r="O68" s="38"/>
      <x:c r="P68" s="38"/>
      <x:c r="Q68" s="38"/>
      <x:c r="R68" s="38"/>
      <x:c r="S68" s="38"/>
      <x:c r="T68" s="38"/>
      <x:c r="U68" s="38"/>
    </x:row>
    <x:row r="69" ht="23" customHeight="1">
      <x:c r="A69" s="38"/>
      <x:c r="B69" s="38"/>
      <x:c r="C69" s="38"/>
      <x:c r="D69" s="38"/>
      <x:c r="E69" s="38"/>
      <x:c r="F69" s="38"/>
      <x:c r="G69" s="38"/>
      <x:c r="H69" s="38"/>
      <x:c r="I69" s="38"/>
      <x:c r="J69" s="38"/>
      <x:c r="K69" s="38"/>
      <x:c r="L69" s="38"/>
      <x:c r="M69" s="38"/>
      <x:c r="N69" s="38"/>
      <x:c r="O69" s="38"/>
      <x:c r="P69" s="38"/>
      <x:c r="Q69" s="38"/>
      <x:c r="R69" s="38"/>
      <x:c r="S69" s="38"/>
      <x:c r="T69" s="38"/>
      <x:c r="U69" s="38"/>
    </x:row>
    <x:row r="70" ht="23" customHeight="1">
      <x:c r="A70" s="38"/>
      <x:c r="B70" s="38"/>
      <x:c r="C70" s="38"/>
      <x:c r="D70" s="38"/>
      <x:c r="E70" s="38"/>
      <x:c r="F70" s="38"/>
      <x:c r="G70" s="38"/>
      <x:c r="H70" s="38"/>
      <x:c r="I70" s="38"/>
      <x:c r="J70" s="38"/>
      <x:c r="K70" s="38"/>
      <x:c r="L70" s="38"/>
      <x:c r="M70" s="38"/>
      <x:c r="N70" s="38"/>
      <x:c r="O70" s="38"/>
      <x:c r="P70" s="38"/>
      <x:c r="Q70" s="38"/>
      <x:c r="R70" s="38"/>
      <x:c r="S70" s="38"/>
      <x:c r="T70" s="38"/>
      <x:c r="U70" s="38"/>
    </x:row>
    <x:row r="71" ht="23" customHeight="1">
      <x:c r="A71" s="38"/>
      <x:c r="B71" s="38"/>
      <x:c r="C71" s="38"/>
      <x:c r="D71" s="38"/>
      <x:c r="E71" s="38"/>
      <x:c r="F71" s="38"/>
      <x:c r="G71" s="38"/>
      <x:c r="H71" s="38"/>
      <x:c r="I71" s="38"/>
      <x:c r="J71" s="38"/>
      <x:c r="K71" s="38"/>
      <x:c r="L71" s="38"/>
      <x:c r="M71" s="38"/>
      <x:c r="N71" s="38"/>
      <x:c r="O71" s="38"/>
      <x:c r="P71" s="38"/>
      <x:c r="Q71" s="38"/>
      <x:c r="R71" s="38"/>
      <x:c r="S71" s="38"/>
      <x:c r="T71" s="38"/>
      <x:c r="U71" s="38"/>
    </x:row>
    <x:row r="72" ht="23" customHeight="1">
      <x:c r="A72" s="38"/>
      <x:c r="B72" s="38"/>
      <x:c r="C72" s="38"/>
      <x:c r="D72" s="38"/>
      <x:c r="E72" s="38"/>
      <x:c r="F72" s="38"/>
      <x:c r="G72" s="38"/>
      <x:c r="H72" s="38"/>
      <x:c r="I72" s="38"/>
      <x:c r="J72" s="38"/>
      <x:c r="K72" s="38"/>
      <x:c r="L72" s="38"/>
      <x:c r="M72" s="38"/>
      <x:c r="N72" s="38"/>
      <x:c r="O72" s="38"/>
      <x:c r="P72" s="38"/>
      <x:c r="Q72" s="38"/>
      <x:c r="R72" s="38"/>
      <x:c r="S72" s="38"/>
      <x:c r="T72" s="38"/>
      <x:c r="U72" s="38"/>
    </x:row>
    <x:row r="73" ht="23" customHeight="1">
      <x:c r="A73" s="38"/>
      <x:c r="B73" s="38"/>
      <x:c r="C73" s="38"/>
      <x:c r="D73" s="38"/>
      <x:c r="E73" s="38"/>
      <x:c r="F73" s="38"/>
      <x:c r="G73" s="38"/>
      <x:c r="H73" s="38"/>
      <x:c r="I73" s="38"/>
      <x:c r="J73" s="38"/>
      <x:c r="K73" s="38"/>
      <x:c r="L73" s="38"/>
      <x:c r="M73" s="38"/>
      <x:c r="N73" s="38"/>
      <x:c r="O73" s="38"/>
      <x:c r="P73" s="38"/>
      <x:c r="Q73" s="38"/>
      <x:c r="R73" s="38"/>
      <x:c r="S73" s="38"/>
      <x:c r="T73" s="38"/>
      <x:c r="U73" s="38"/>
    </x:row>
    <x:row r="74" ht="23" customHeight="1">
      <x:c r="A74" s="38"/>
      <x:c r="B74" s="38"/>
      <x:c r="C74" s="38"/>
      <x:c r="D74" s="38"/>
      <x:c r="E74" s="38"/>
      <x:c r="F74" s="38"/>
      <x:c r="G74" s="38"/>
      <x:c r="H74" s="38"/>
      <x:c r="I74" s="38"/>
      <x:c r="J74" s="38"/>
      <x:c r="K74" s="38"/>
      <x:c r="L74" s="38"/>
      <x:c r="M74" s="38"/>
      <x:c r="N74" s="38"/>
      <x:c r="O74" s="38"/>
      <x:c r="P74" s="38"/>
      <x:c r="Q74" s="38"/>
      <x:c r="R74" s="38"/>
      <x:c r="S74" s="38"/>
      <x:c r="T74" s="38"/>
      <x:c r="U74" s="38"/>
    </x:row>
    <x:row r="75" ht="23" customHeight="1">
      <x:c r="A75" s="38"/>
      <x:c r="B75" s="38"/>
      <x:c r="C75" s="38"/>
      <x:c r="D75" s="38"/>
      <x:c r="E75" s="38"/>
      <x:c r="F75" s="38"/>
      <x:c r="G75" s="38"/>
      <x:c r="H75" s="38"/>
      <x:c r="I75" s="38"/>
      <x:c r="J75" s="38"/>
      <x:c r="K75" s="38"/>
      <x:c r="L75" s="38"/>
      <x:c r="M75" s="38"/>
      <x:c r="N75" s="38"/>
      <x:c r="O75" s="38"/>
      <x:c r="P75" s="38"/>
      <x:c r="Q75" s="38"/>
      <x:c r="R75" s="38"/>
      <x:c r="S75" s="38"/>
      <x:c r="T75" s="38"/>
      <x:c r="U75" s="38"/>
    </x:row>
    <x:row r="76" ht="23" customHeight="1">
      <x:c r="A76" s="38"/>
      <x:c r="B76" s="38"/>
      <x:c r="C76" s="38"/>
      <x:c r="D76" s="38"/>
      <x:c r="E76" s="38"/>
      <x:c r="F76" s="38"/>
      <x:c r="G76" s="38"/>
      <x:c r="H76" s="38"/>
      <x:c r="I76" s="38"/>
      <x:c r="J76" s="38"/>
      <x:c r="K76" s="38"/>
      <x:c r="L76" s="38"/>
      <x:c r="M76" s="38"/>
      <x:c r="N76" s="38"/>
      <x:c r="O76" s="38"/>
      <x:c r="P76" s="38"/>
      <x:c r="Q76" s="38"/>
      <x:c r="R76" s="38"/>
      <x:c r="S76" s="38"/>
      <x:c r="T76" s="38"/>
      <x:c r="U76" s="38"/>
    </x:row>
    <x:row r="77" ht="23" customHeight="1">
      <x:c r="A77" s="38"/>
      <x:c r="B77" s="38"/>
      <x:c r="C77" s="38"/>
      <x:c r="D77" s="38"/>
      <x:c r="E77" s="38"/>
      <x:c r="F77" s="38"/>
      <x:c r="G77" s="38"/>
      <x:c r="H77" s="38"/>
      <x:c r="I77" s="38"/>
      <x:c r="J77" s="38"/>
      <x:c r="K77" s="38"/>
      <x:c r="L77" s="38"/>
      <x:c r="M77" s="38"/>
      <x:c r="N77" s="38"/>
      <x:c r="O77" s="38"/>
      <x:c r="P77" s="38"/>
      <x:c r="Q77" s="38"/>
      <x:c r="R77" s="38"/>
      <x:c r="S77" s="38"/>
      <x:c r="T77" s="38"/>
      <x:c r="U77" s="38"/>
    </x:row>
    <x:row r="78" ht="23" customHeight="1">
      <x:c r="A78" s="38"/>
      <x:c r="B78" s="38"/>
      <x:c r="C78" s="38"/>
      <x:c r="D78" s="38"/>
      <x:c r="E78" s="38"/>
      <x:c r="F78" s="38"/>
      <x:c r="G78" s="38"/>
      <x:c r="H78" s="38"/>
      <x:c r="I78" s="38"/>
      <x:c r="J78" s="38"/>
      <x:c r="K78" s="38"/>
      <x:c r="L78" s="38"/>
      <x:c r="M78" s="38"/>
      <x:c r="N78" s="38"/>
      <x:c r="O78" s="38"/>
      <x:c r="P78" s="38"/>
      <x:c r="Q78" s="38"/>
      <x:c r="R78" s="38"/>
      <x:c r="S78" s="38"/>
      <x:c r="T78" s="38"/>
      <x:c r="U78" s="38"/>
    </x:row>
    <x:row r="79" ht="23" customHeight="1">
      <x:c r="A79" s="38"/>
      <x:c r="B79" s="38"/>
      <x:c r="C79" s="38"/>
      <x:c r="D79" s="38"/>
      <x:c r="E79" s="38"/>
      <x:c r="F79" s="38"/>
      <x:c r="G79" s="38"/>
      <x:c r="H79" s="38"/>
      <x:c r="I79" s="38"/>
      <x:c r="J79" s="38"/>
      <x:c r="K79" s="38"/>
      <x:c r="L79" s="38"/>
      <x:c r="M79" s="38"/>
      <x:c r="N79" s="38"/>
      <x:c r="O79" s="38"/>
      <x:c r="P79" s="38"/>
      <x:c r="Q79" s="38"/>
      <x:c r="R79" s="38"/>
      <x:c r="S79" s="38"/>
      <x:c r="T79" s="38"/>
      <x:c r="U79" s="38"/>
    </x:row>
    <x:row r="80" ht="23" customHeight="1">
      <x:c r="A80" s="38"/>
      <x:c r="B80" s="38"/>
      <x:c r="C80" s="38"/>
      <x:c r="D80" s="38"/>
      <x:c r="E80" s="38"/>
      <x:c r="F80" s="38"/>
      <x:c r="G80" s="38"/>
      <x:c r="H80" s="38"/>
      <x:c r="I80" s="38"/>
      <x:c r="J80" s="38"/>
      <x:c r="K80" s="38"/>
      <x:c r="L80" s="38"/>
      <x:c r="M80" s="38"/>
      <x:c r="N80" s="38"/>
      <x:c r="O80" s="38"/>
      <x:c r="P80" s="38"/>
      <x:c r="Q80" s="38"/>
      <x:c r="R80" s="38"/>
      <x:c r="S80" s="38"/>
      <x:c r="T80" s="38"/>
      <x:c r="U80" s="38"/>
    </x:row>
    <x:row r="81" ht="23" customHeight="1">
      <x:c r="A81" s="38"/>
      <x:c r="B81" s="38"/>
      <x:c r="C81" s="38"/>
      <x:c r="D81" s="38"/>
      <x:c r="E81" s="38"/>
      <x:c r="F81" s="38"/>
      <x:c r="G81" s="38"/>
      <x:c r="H81" s="38"/>
      <x:c r="I81" s="38"/>
      <x:c r="J81" s="38"/>
      <x:c r="K81" s="38"/>
      <x:c r="L81" s="38"/>
      <x:c r="M81" s="38"/>
      <x:c r="N81" s="38"/>
      <x:c r="O81" s="38"/>
      <x:c r="P81" s="38"/>
      <x:c r="Q81" s="38"/>
      <x:c r="R81" s="38"/>
      <x:c r="S81" s="38"/>
      <x:c r="T81" s="38"/>
      <x:c r="U81" s="38"/>
    </x:row>
    <x:row r="82" ht="23" customHeight="1">
      <x:c r="A82" s="38"/>
      <x:c r="B82" s="38"/>
      <x:c r="C82" s="38"/>
      <x:c r="D82" s="38"/>
      <x:c r="E82" s="38"/>
      <x:c r="F82" s="38"/>
      <x:c r="G82" s="38"/>
      <x:c r="H82" s="38"/>
      <x:c r="I82" s="38"/>
      <x:c r="J82" s="38"/>
      <x:c r="K82" s="38"/>
      <x:c r="L82" s="38"/>
      <x:c r="M82" s="38"/>
      <x:c r="N82" s="38"/>
      <x:c r="O82" s="38"/>
      <x:c r="P82" s="38"/>
      <x:c r="Q82" s="38"/>
      <x:c r="R82" s="38"/>
      <x:c r="S82" s="38"/>
      <x:c r="T82" s="38"/>
      <x:c r="U82" s="38"/>
    </x:row>
    <x:row r="83" ht="23" customHeight="1">
      <x:c r="A83" s="38"/>
      <x:c r="B83" s="38"/>
      <x:c r="C83" s="38"/>
      <x:c r="D83" s="38"/>
      <x:c r="E83" s="38"/>
      <x:c r="F83" s="38"/>
      <x:c r="G83" s="38"/>
      <x:c r="H83" s="38"/>
      <x:c r="I83" s="38"/>
      <x:c r="J83" s="38"/>
      <x:c r="K83" s="38"/>
      <x:c r="L83" s="38"/>
      <x:c r="M83" s="38"/>
      <x:c r="N83" s="38"/>
      <x:c r="O83" s="38"/>
      <x:c r="P83" s="38"/>
      <x:c r="Q83" s="38"/>
      <x:c r="R83" s="38"/>
      <x:c r="S83" s="38"/>
      <x:c r="T83" s="38"/>
      <x:c r="U83" s="38"/>
    </x:row>
    <x:row r="84" ht="23" customHeight="1">
      <x:c r="A84" s="38"/>
      <x:c r="B84" s="38"/>
      <x:c r="C84" s="38"/>
      <x:c r="D84" s="38"/>
      <x:c r="E84" s="38"/>
      <x:c r="F84" s="38"/>
      <x:c r="G84" s="38"/>
      <x:c r="H84" s="38"/>
      <x:c r="I84" s="38"/>
      <x:c r="J84" s="38"/>
      <x:c r="K84" s="38"/>
      <x:c r="L84" s="38"/>
      <x:c r="M84" s="38"/>
      <x:c r="N84" s="38"/>
      <x:c r="O84" s="38"/>
      <x:c r="P84" s="38"/>
      <x:c r="Q84" s="38"/>
      <x:c r="R84" s="38"/>
      <x:c r="S84" s="38"/>
      <x:c r="T84" s="38"/>
      <x:c r="U84" s="38"/>
    </x:row>
    <x:row r="85" ht="23" customHeight="1">
      <x:c r="A85" s="38"/>
      <x:c r="B85" s="38"/>
      <x:c r="C85" s="38"/>
      <x:c r="D85" s="38"/>
      <x:c r="E85" s="38"/>
      <x:c r="F85" s="38"/>
      <x:c r="G85" s="38"/>
      <x:c r="H85" s="38"/>
      <x:c r="I85" s="38"/>
      <x:c r="J85" s="38"/>
      <x:c r="K85" s="38"/>
      <x:c r="L85" s="38"/>
      <x:c r="M85" s="38"/>
      <x:c r="N85" s="38"/>
      <x:c r="O85" s="38"/>
      <x:c r="P85" s="38"/>
      <x:c r="Q85" s="38"/>
      <x:c r="R85" s="38"/>
      <x:c r="S85" s="38"/>
      <x:c r="T85" s="38"/>
      <x:c r="U85" s="38"/>
    </x:row>
  </x:sheetData>
  <x:mergeCells>
    <x:mergeCell ref="B2:L3"/>
    <x:mergeCell ref="B4:L5"/>
    <x:mergeCell ref="B20:K20"/>
    <x:mergeCell ref="B33:K33"/>
    <x:mergeCell ref="B41:K4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007F86"/>
  </x:sheetPr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3" hidden="0" customWidth="1"/>
    <x:col min="2" max="2" width="17" hidden="0" customWidth="1"/>
    <x:col min="3" max="3" width="24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</x:cols>
  <x:sheetData>
    <x:row r="1" ht="23" customHeight="1">
      <x:c r="A1" s="38"/>
      <x:c r="B1" s="38"/>
      <x:c r="C1" s="38"/>
      <x:c r="D1" s="38"/>
      <x:c r="E1" s="38"/>
      <x:c r="F1" s="38"/>
      <x:c r="G1" s="38"/>
      <x:c r="H1" s="38"/>
      <x:c r="I1" s="38"/>
      <x:c r="J1" s="38"/>
      <x:c r="K1" s="38"/>
      <x:c r="L1" s="38"/>
      <x:c r="M1" s="38"/>
      <x:c r="N1" s="38"/>
      <x:c r="O1" s="38"/>
      <x:c r="P1" s="38"/>
      <x:c r="Q1" s="38"/>
      <x:c r="R1" s="38"/>
      <x:c r="S1" s="38"/>
      <x:c r="T1" s="38"/>
      <x:c r="U1" s="38"/>
    </x:row>
    <x:row r="2" ht="23" customHeight="1">
      <x:c r="A2" s="38"/>
      <x:c r="B2" s="4" t="str">
        <x:v>Position and valuation reconciliation</x:v>
      </x:c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38"/>
      <x:c r="R2" s="38"/>
      <x:c r="S2" s="38"/>
      <x:c r="T2" s="38"/>
      <x:c r="U2" s="38"/>
    </x:row>
    <x:row r="3" ht="23" customHeight="1">
      <x:c r="A3" s="38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38"/>
      <x:c r="R3" s="38"/>
      <x:c r="S3" s="38"/>
      <x:c r="T3" s="38"/>
      <x:c r="U3" s="38"/>
    </x:row>
    <x:row r="4" ht="23" customHeight="1">
      <x:c r="A4" s="38"/>
      <x:c r="B4" s="39" t="str">
        <x:v>Seven valuation dates × six investment sleeves and cash • corrected values use the adjustment ledger and verified statement prices.</x:v>
      </x:c>
      <x:c r="C4" s="39"/>
      <x:c r="D4" s="39"/>
      <x:c r="E4" s="39"/>
      <x:c r="F4" s="39"/>
      <x:c r="G4" s="39"/>
      <x:c r="H4" s="39"/>
      <x:c r="I4" s="39"/>
      <x:c r="J4" s="39"/>
      <x:c r="K4" s="39"/>
      <x:c r="L4" s="39"/>
      <x:c r="M4" s="39"/>
      <x:c r="N4" s="39"/>
      <x:c r="O4" s="39"/>
      <x:c r="P4" s="39"/>
      <x:c r="Q4" s="38"/>
      <x:c r="R4" s="38"/>
      <x:c r="S4" s="38"/>
      <x:c r="T4" s="38"/>
      <x:c r="U4" s="38"/>
    </x:row>
    <x:row r="5" ht="23" customHeight="1">
      <x:c r="A5" s="38"/>
      <x:c r="B5" s="39"/>
      <x:c r="C5" s="39"/>
      <x:c r="D5" s="39"/>
      <x:c r="E5" s="39"/>
      <x:c r="F5" s="39"/>
      <x:c r="G5" s="39"/>
      <x:c r="H5" s="39"/>
      <x:c r="I5" s="39"/>
      <x:c r="J5" s="39"/>
      <x:c r="K5" s="39"/>
      <x:c r="L5" s="39"/>
      <x:c r="M5" s="39"/>
      <x:c r="N5" s="39"/>
      <x:c r="O5" s="39"/>
      <x:c r="P5" s="39"/>
      <x:c r="Q5" s="38"/>
      <x:c r="R5" s="38"/>
      <x:c r="S5" s="38"/>
      <x:c r="T5" s="38"/>
      <x:c r="U5" s="38"/>
    </x:row>
    <x:row r="6" ht="23" customHeight="1">
      <x:c r="A6" s="38"/>
      <x:c r="B6" s="38"/>
      <x:c r="C6" s="38"/>
      <x:c r="D6" s="38"/>
      <x:c r="E6" s="38"/>
      <x:c r="F6" s="38"/>
      <x:c r="G6" s="38"/>
      <x:c r="H6" s="38"/>
      <x:c r="I6" s="38"/>
      <x:c r="J6" s="38"/>
      <x:c r="K6" s="38"/>
      <x:c r="L6" s="38"/>
      <x:c r="M6" s="38"/>
      <x:c r="N6" s="38"/>
      <x:c r="O6" s="38"/>
      <x:c r="P6" s="38"/>
      <x:c r="Q6" s="38"/>
      <x:c r="R6" s="38"/>
      <x:c r="S6" s="38"/>
      <x:c r="T6" s="38"/>
      <x:c r="U6" s="38"/>
    </x:row>
    <x:row r="7" ht="23" customHeight="1">
      <x:c r="A7" s="38"/>
      <x:c r="B7" s="38"/>
      <x:c r="C7" s="38"/>
      <x:c r="D7" s="38"/>
      <x:c r="E7" s="38"/>
      <x:c r="F7" s="38"/>
      <x:c r="G7" s="38"/>
      <x:c r="H7" s="38"/>
      <x:c r="I7" s="38"/>
      <x:c r="J7" s="38"/>
      <x:c r="K7" s="38"/>
      <x:c r="L7" s="38"/>
      <x:c r="M7" s="38"/>
      <x:c r="N7" s="38"/>
      <x:c r="O7" s="38"/>
      <x:c r="P7" s="38"/>
      <x:c r="Q7" s="38"/>
      <x:c r="R7" s="38"/>
      <x:c r="S7" s="38"/>
      <x:c r="T7" s="38"/>
      <x:c r="U7" s="38"/>
    </x:row>
    <x:row r="8" ht="23" customHeight="1">
      <x:c r="A8" s="38"/>
      <x:c r="B8" s="38"/>
      <x:c r="C8" s="38"/>
      <x:c r="D8" s="38"/>
      <x:c r="E8" s="38"/>
      <x:c r="F8" s="38"/>
      <x:c r="G8" s="38"/>
      <x:c r="H8" s="38"/>
      <x:c r="I8" s="38"/>
      <x:c r="J8" s="38"/>
      <x:c r="K8" s="38"/>
      <x:c r="L8" s="38"/>
      <x:c r="M8" s="38"/>
      <x:c r="N8" s="38"/>
      <x:c r="O8" s="38"/>
      <x:c r="P8" s="38"/>
      <x:c r="Q8" s="38"/>
      <x:c r="R8" s="38"/>
      <x:c r="S8" s="38"/>
      <x:c r="T8" s="38"/>
      <x:c r="U8" s="38"/>
    </x:row>
    <x:row r="9" ht="34" customHeight="1">
      <x:c r="A9" s="38"/>
      <x:c r="B9" s="41" t="str">
        <x:v>Date</x:v>
      </x:c>
      <x:c r="C9" s="41" t="str">
        <x:v>Sleeve</x:v>
      </x:c>
      <x:c r="D9" s="41" t="str">
        <x:v>Statement price</x:v>
      </x:c>
      <x:c r="E9" s="41" t="str">
        <x:v>Statement units</x:v>
      </x:c>
      <x:c r="F9" s="41" t="str">
        <x:v>Book price</x:v>
      </x:c>
      <x:c r="G9" s="41" t="str">
        <x:v>Opening units</x:v>
      </x:c>
      <x:c r="H9" s="41" t="str">
        <x:v>Book units</x:v>
      </x:c>
      <x:c r="I9" s="41" t="str">
        <x:v>Unit adjustment</x:v>
      </x:c>
      <x:c r="J9" s="41" t="str">
        <x:v>Corrected units</x:v>
      </x:c>
      <x:c r="K9" s="41" t="str">
        <x:v>Raw value</x:v>
      </x:c>
      <x:c r="L9" s="41" t="str">
        <x:v>Corrected value</x:v>
      </x:c>
      <x:c r="M9" s="41" t="str">
        <x:v>Statement value</x:v>
      </x:c>
      <x:c r="N9" s="41" t="str">
        <x:v>Raw difference</x:v>
      </x:c>
      <x:c r="O9" s="41" t="str">
        <x:v>Corrected difference</x:v>
      </x:c>
      <x:c r="P9" s="38"/>
      <x:c r="Q9" s="38"/>
      <x:c r="R9" s="38"/>
      <x:c r="S9" s="38"/>
      <x:c r="T9" s="38"/>
      <x:c r="U9" s="38"/>
    </x:row>
    <x:row r="10" ht="23" customHeight="1">
      <x:c r="A10" s="38"/>
      <x:c r="B10" s="51" t="str">
        <x:v>2021-09-30</x:v>
      </x:c>
      <x:c r="C10" s="51" t="str">
        <x:v>Technology</x:v>
      </x:c>
      <x:c r="D10" s="52" t="n">
        <x:v>100</x:v>
      </x:c>
      <x:c r="E10" s="52" t="n">
        <x:v>3325</x:v>
      </x:c>
      <x:c r="F10" s="52" t="n">
        <x:v>100</x:v>
      </x:c>
      <x:c r="G10" s="52" t="n">
        <x:v>3325</x:v>
      </x:c>
      <x:c r="H10" s="43" t="n">
        <x:f>G10+SUMIFS('Transactions'!$H$24:$H$29,'Transactions'!$C$24:$C$29,"&lt;="&amp;B10,'Transactions'!$E$24:$E$29,C10)</x:f>
        <x:v>3325</x:v>
      </x:c>
      <x:c r="I10" s="43" t="n">
        <x:f>SUMIFS('Transactions'!$H$36:$H$38,'Transactions'!$C$36:$C$38,"&lt;="&amp;B10,'Transactions'!$E$36:$E$38,C10)</x:f>
        <x:v>0</x:v>
      </x:c>
      <x:c r="J10" s="53" t="n">
        <x:f>H10+I10</x:f>
        <x:v>3325</x:v>
      </x:c>
      <x:c r="K10" s="53" t="n">
        <x:f>H10*F10</x:f>
        <x:v>332500</x:v>
      </x:c>
      <x:c r="L10" s="53" t="n">
        <x:f>J10*D10</x:f>
        <x:v>332500</x:v>
      </x:c>
      <x:c r="M10" s="53" t="n">
        <x:f>E10*D10</x:f>
        <x:v>332500</x:v>
      </x:c>
      <x:c r="N10" s="53" t="n">
        <x:f>K10-M10</x:f>
        <x:v>0</x:v>
      </x:c>
      <x:c r="O10" s="53" t="n">
        <x:f>L10-M10</x:f>
        <x:v>0</x:v>
      </x:c>
      <x:c r="P10" s="38"/>
      <x:c r="Q10" s="38"/>
      <x:c r="R10" s="38"/>
      <x:c r="S10" s="38"/>
      <x:c r="T10" s="38"/>
      <x:c r="U10" s="38"/>
    </x:row>
    <x:row r="11" ht="23" customHeight="1">
      <x:c r="A11" s="38"/>
      <x:c r="B11" s="51" t="str">
        <x:v>2021-09-30</x:v>
      </x:c>
      <x:c r="C11" s="51" t="str">
        <x:v>Health Care</x:v>
      </x:c>
      <x:c r="D11" s="52" t="n">
        <x:v>100</x:v>
      </x:c>
      <x:c r="E11" s="52" t="n">
        <x:v>1425</x:v>
      </x:c>
      <x:c r="F11" s="52" t="n">
        <x:v>100</x:v>
      </x:c>
      <x:c r="G11" s="52" t="n">
        <x:v>1425</x:v>
      </x:c>
      <x:c r="H11" s="43" t="n">
        <x:f>G11+SUMIFS('Transactions'!$H$24:$H$29,'Transactions'!$C$24:$C$29,"&lt;="&amp;B11,'Transactions'!$E$24:$E$29,C11)</x:f>
        <x:v>1425</x:v>
      </x:c>
      <x:c r="I11" s="43" t="n">
        <x:f>SUMIFS('Transactions'!$H$36:$H$38,'Transactions'!$C$36:$C$38,"&lt;="&amp;B11,'Transactions'!$E$36:$E$38,C11)</x:f>
        <x:v>0</x:v>
      </x:c>
      <x:c r="J11" s="53" t="n">
        <x:f>H11+I11</x:f>
        <x:v>1425</x:v>
      </x:c>
      <x:c r="K11" s="53" t="n">
        <x:f>H11*F11</x:f>
        <x:v>142500</x:v>
      </x:c>
      <x:c r="L11" s="53" t="n">
        <x:f>J11*D11</x:f>
        <x:v>142500</x:v>
      </x:c>
      <x:c r="M11" s="53" t="n">
        <x:f>E11*D11</x:f>
        <x:v>142500</x:v>
      </x:c>
      <x:c r="N11" s="53" t="n">
        <x:f>K11-M11</x:f>
        <x:v>0</x:v>
      </x:c>
      <x:c r="O11" s="53" t="n">
        <x:f>L11-M11</x:f>
        <x:v>0</x:v>
      </x:c>
      <x:c r="P11" s="38"/>
      <x:c r="Q11" s="38"/>
      <x:c r="R11" s="38"/>
      <x:c r="S11" s="38"/>
      <x:c r="T11" s="38"/>
      <x:c r="U11" s="38"/>
    </x:row>
    <x:row r="12" ht="23" customHeight="1">
      <x:c r="A12" s="38"/>
      <x:c r="B12" s="51" t="str">
        <x:v>2021-09-30</x:v>
      </x:c>
      <x:c r="C12" s="51" t="str">
        <x:v>Oil &amp; Gas</x:v>
      </x:c>
      <x:c r="D12" s="52" t="n">
        <x:v>100</x:v>
      </x:c>
      <x:c r="E12" s="52" t="n">
        <x:v>1900</x:v>
      </x:c>
      <x:c r="F12" s="52" t="n">
        <x:v>100</x:v>
      </x:c>
      <x:c r="G12" s="52" t="n">
        <x:v>1900</x:v>
      </x:c>
      <x:c r="H12" s="43" t="n">
        <x:f>G12+SUMIFS('Transactions'!$H$24:$H$29,'Transactions'!$C$24:$C$29,"&lt;="&amp;B12,'Transactions'!$E$24:$E$29,C12)</x:f>
        <x:v>1900</x:v>
      </x:c>
      <x:c r="I12" s="43" t="n">
        <x:f>SUMIFS('Transactions'!$H$36:$H$38,'Transactions'!$C$36:$C$38,"&lt;="&amp;B12,'Transactions'!$E$36:$E$38,C12)</x:f>
        <x:v>0</x:v>
      </x:c>
      <x:c r="J12" s="53" t="n">
        <x:f>H12+I12</x:f>
        <x:v>1900</x:v>
      </x:c>
      <x:c r="K12" s="53" t="n">
        <x:f>H12*F12</x:f>
        <x:v>190000</x:v>
      </x:c>
      <x:c r="L12" s="53" t="n">
        <x:f>J12*D12</x:f>
        <x:v>190000</x:v>
      </x:c>
      <x:c r="M12" s="53" t="n">
        <x:f>E12*D12</x:f>
        <x:v>190000</x:v>
      </x:c>
      <x:c r="N12" s="53" t="n">
        <x:f>K12-M12</x:f>
        <x:v>0</x:v>
      </x:c>
      <x:c r="O12" s="53" t="n">
        <x:f>L12-M12</x:f>
        <x:v>0</x:v>
      </x:c>
      <x:c r="P12" s="38"/>
      <x:c r="Q12" s="38"/>
      <x:c r="R12" s="38"/>
      <x:c r="S12" s="38"/>
      <x:c r="T12" s="38"/>
      <x:c r="U12" s="38"/>
    </x:row>
    <x:row r="13" ht="23" customHeight="1">
      <x:c r="A13" s="38"/>
      <x:c r="B13" s="51" t="str">
        <x:v>2021-09-30</x:v>
      </x:c>
      <x:c r="C13" s="51" t="str">
        <x:v>Financials</x:v>
      </x:c>
      <x:c r="D13" s="52" t="n">
        <x:v>100</x:v>
      </x:c>
      <x:c r="E13" s="52" t="n">
        <x:v>1425</x:v>
      </x:c>
      <x:c r="F13" s="52" t="n">
        <x:v>100</x:v>
      </x:c>
      <x:c r="G13" s="52" t="n">
        <x:v>1425</x:v>
      </x:c>
      <x:c r="H13" s="43" t="n">
        <x:f>G13+SUMIFS('Transactions'!$H$24:$H$29,'Transactions'!$C$24:$C$29,"&lt;="&amp;B13,'Transactions'!$E$24:$E$29,C13)</x:f>
        <x:v>1425</x:v>
      </x:c>
      <x:c r="I13" s="43" t="n">
        <x:f>SUMIFS('Transactions'!$H$36:$H$38,'Transactions'!$C$36:$C$38,"&lt;="&amp;B13,'Transactions'!$E$36:$E$38,C13)</x:f>
        <x:v>0</x:v>
      </x:c>
      <x:c r="J13" s="53" t="n">
        <x:f>H13+I13</x:f>
        <x:v>1425</x:v>
      </x:c>
      <x:c r="K13" s="53" t="n">
        <x:f>H13*F13</x:f>
        <x:v>142500</x:v>
      </x:c>
      <x:c r="L13" s="53" t="n">
        <x:f>J13*D13</x:f>
        <x:v>142500</x:v>
      </x:c>
      <x:c r="M13" s="53" t="n">
        <x:f>E13*D13</x:f>
        <x:v>142500</x:v>
      </x:c>
      <x:c r="N13" s="53" t="n">
        <x:f>K13-M13</x:f>
        <x:v>0</x:v>
      </x:c>
      <x:c r="O13" s="53" t="n">
        <x:f>L13-M13</x:f>
        <x:v>0</x:v>
      </x:c>
      <x:c r="P13" s="38"/>
      <x:c r="Q13" s="38"/>
      <x:c r="R13" s="38"/>
      <x:c r="S13" s="38"/>
      <x:c r="T13" s="38"/>
      <x:c r="U13" s="38"/>
    </x:row>
    <x:row r="14" ht="23" customHeight="1">
      <x:c r="A14" s="38"/>
      <x:c r="B14" s="51" t="str">
        <x:v>2021-09-30</x:v>
      </x:c>
      <x:c r="C14" s="51" t="str">
        <x:v>Renewables</x:v>
      </x:c>
      <x:c r="D14" s="52" t="n">
        <x:v>100</x:v>
      </x:c>
      <x:c r="E14" s="52" t="n">
        <x:v>950</x:v>
      </x:c>
      <x:c r="F14" s="52" t="n">
        <x:v>100</x:v>
      </x:c>
      <x:c r="G14" s="52" t="n">
        <x:v>950</x:v>
      </x:c>
      <x:c r="H14" s="43" t="n">
        <x:f>G14+SUMIFS('Transactions'!$H$24:$H$29,'Transactions'!$C$24:$C$29,"&lt;="&amp;B14,'Transactions'!$E$24:$E$29,C14)</x:f>
        <x:v>950</x:v>
      </x:c>
      <x:c r="I14" s="43" t="n">
        <x:f>SUMIFS('Transactions'!$H$36:$H$38,'Transactions'!$C$36:$C$38,"&lt;="&amp;B14,'Transactions'!$E$36:$E$38,C14)</x:f>
        <x:v>0</x:v>
      </x:c>
      <x:c r="J14" s="53" t="n">
        <x:f>H14+I14</x:f>
        <x:v>950</x:v>
      </x:c>
      <x:c r="K14" s="53" t="n">
        <x:f>H14*F14</x:f>
        <x:v>95000</x:v>
      </x:c>
      <x:c r="L14" s="53" t="n">
        <x:f>J14*D14</x:f>
        <x:v>95000</x:v>
      </x:c>
      <x:c r="M14" s="53" t="n">
        <x:f>E14*D14</x:f>
        <x:v>95000</x:v>
      </x:c>
      <x:c r="N14" s="53" t="n">
        <x:f>K14-M14</x:f>
        <x:v>0</x:v>
      </x:c>
      <x:c r="O14" s="53" t="n">
        <x:f>L14-M14</x:f>
        <x:v>0</x:v>
      </x:c>
      <x:c r="P14" s="38"/>
      <x:c r="Q14" s="38"/>
      <x:c r="R14" s="38"/>
      <x:c r="S14" s="38"/>
      <x:c r="T14" s="38"/>
      <x:c r="U14" s="38"/>
    </x:row>
    <x:row r="15" ht="23" customHeight="1">
      <x:c r="A15" s="38"/>
      <x:c r="B15" s="51" t="str">
        <x:v>2021-09-30</x:v>
      </x:c>
      <x:c r="C15" s="51" t="str">
        <x:v>Consumer Discretionary</x:v>
      </x:c>
      <x:c r="D15" s="52" t="n">
        <x:v>100</x:v>
      </x:c>
      <x:c r="E15" s="52" t="n">
        <x:v>475</x:v>
      </x:c>
      <x:c r="F15" s="52" t="n">
        <x:v>100</x:v>
      </x:c>
      <x:c r="G15" s="52" t="n">
        <x:v>475</x:v>
      </x:c>
      <x:c r="H15" s="43" t="n">
        <x:f>G15+SUMIFS('Transactions'!$H$24:$H$29,'Transactions'!$C$24:$C$29,"&lt;="&amp;B15,'Transactions'!$E$24:$E$29,C15)</x:f>
        <x:v>475</x:v>
      </x:c>
      <x:c r="I15" s="43" t="n">
        <x:f>SUMIFS('Transactions'!$H$36:$H$38,'Transactions'!$C$36:$C$38,"&lt;="&amp;B15,'Transactions'!$E$36:$E$38,C15)</x:f>
        <x:v>0</x:v>
      </x:c>
      <x:c r="J15" s="53" t="n">
        <x:f>H15+I15</x:f>
        <x:v>475</x:v>
      </x:c>
      <x:c r="K15" s="53" t="n">
        <x:f>H15*F15</x:f>
        <x:v>47500</x:v>
      </x:c>
      <x:c r="L15" s="53" t="n">
        <x:f>J15*D15</x:f>
        <x:v>47500</x:v>
      </x:c>
      <x:c r="M15" s="53" t="n">
        <x:f>E15*D15</x:f>
        <x:v>47500</x:v>
      </x:c>
      <x:c r="N15" s="53" t="n">
        <x:f>K15-M15</x:f>
        <x:v>0</x:v>
      </x:c>
      <x:c r="O15" s="53" t="n">
        <x:f>L15-M15</x:f>
        <x:v>0</x:v>
      </x:c>
      <x:c r="P15" s="38"/>
      <x:c r="Q15" s="38"/>
      <x:c r="R15" s="38"/>
      <x:c r="S15" s="38"/>
      <x:c r="T15" s="38"/>
      <x:c r="U15" s="38"/>
    </x:row>
    <x:row r="16" ht="23" customHeight="1">
      <x:c r="A16" s="38"/>
      <x:c r="B16" s="51" t="str">
        <x:v>2021-09-30</x:v>
      </x:c>
      <x:c r="C16" s="51" t="str">
        <x:v>Cash</x:v>
      </x:c>
      <x:c r="D16" s="52" t="n">
        <x:v>1</x:v>
      </x:c>
      <x:c r="E16" s="52" t="n">
        <x:v>50000</x:v>
      </x:c>
      <x:c r="F16" s="52" t="n">
        <x:v>1</x:v>
      </x:c>
      <x:c r="G16" s="52" t="n">
        <x:v>50000</x:v>
      </x:c>
      <x:c r="H16" s="43" t="n">
        <x:f>G16+SUMIFS('Transactions'!$I$24:$I$29,'Transactions'!$C$24:$C$29,"&lt;="&amp;B16)</x:f>
        <x:v>50000</x:v>
      </x:c>
      <x:c r="I16" s="43" t="n">
        <x:f>SUMIFS('Transactions'!$I$36:$I$38,'Transactions'!$C$36:$C$38,"&lt;="&amp;B16)</x:f>
        <x:v>0</x:v>
      </x:c>
      <x:c r="J16" s="53" t="n">
        <x:f>H16+I16</x:f>
        <x:v>50000</x:v>
      </x:c>
      <x:c r="K16" s="53" t="n">
        <x:f>H16*F16</x:f>
        <x:v>50000</x:v>
      </x:c>
      <x:c r="L16" s="53" t="n">
        <x:f>J16*D16</x:f>
        <x:v>50000</x:v>
      </x:c>
      <x:c r="M16" s="53" t="n">
        <x:f>E16*D16</x:f>
        <x:v>50000</x:v>
      </x:c>
      <x:c r="N16" s="53" t="n">
        <x:f>K16-M16</x:f>
        <x:v>0</x:v>
      </x:c>
      <x:c r="O16" s="53" t="n">
        <x:f>L16-M16</x:f>
        <x:v>0</x:v>
      </x:c>
      <x:c r="P16" s="38"/>
      <x:c r="Q16" s="38"/>
      <x:c r="R16" s="38"/>
      <x:c r="S16" s="38"/>
      <x:c r="T16" s="38"/>
      <x:c r="U16" s="38"/>
    </x:row>
    <x:row r="17" ht="23" customHeight="1">
      <x:c r="A17" s="38"/>
      <x:c r="B17" s="51" t="str">
        <x:v>2021-10-15</x:v>
      </x:c>
      <x:c r="C17" s="51" t="str">
        <x:v>Technology</x:v>
      </x:c>
      <x:c r="D17" s="52" t="n">
        <x:v>99.6740972190761</x:v>
      </x:c>
      <x:c r="E17" s="52" t="n">
        <x:v>3325</x:v>
      </x:c>
      <x:c r="F17" s="52" t="n">
        <x:v>99.6740972190761</x:v>
      </x:c>
      <x:c r="G17" s="52" t="n">
        <x:v>3325</x:v>
      </x:c>
      <x:c r="H17" s="43" t="n">
        <x:f>G17+SUMIFS('Transactions'!$H$24:$H$29,'Transactions'!$C$24:$C$29,"&lt;="&amp;B17,'Transactions'!$E$24:$E$29,C17)</x:f>
        <x:v>3325</x:v>
      </x:c>
      <x:c r="I17" s="43" t="n">
        <x:f>SUMIFS('Transactions'!$H$36:$H$38,'Transactions'!$C$36:$C$38,"&lt;="&amp;B17,'Transactions'!$E$36:$E$38,C17)</x:f>
        <x:v>0</x:v>
      </x:c>
      <x:c r="J17" s="53" t="n">
        <x:f>H17+I17</x:f>
        <x:v>3325</x:v>
      </x:c>
      <x:c r="K17" s="53" t="n">
        <x:f>H17*F17</x:f>
        <x:v>331416.373253428</x:v>
      </x:c>
      <x:c r="L17" s="53" t="n">
        <x:f>J17*D17</x:f>
        <x:v>331416.373253428</x:v>
      </x:c>
      <x:c r="M17" s="53" t="n">
        <x:f>E17*D17</x:f>
        <x:v>331416.373253428</x:v>
      </x:c>
      <x:c r="N17" s="53" t="n">
        <x:f>K17-M17</x:f>
        <x:v>0</x:v>
      </x:c>
      <x:c r="O17" s="53" t="n">
        <x:f>L17-M17</x:f>
        <x:v>0</x:v>
      </x:c>
      <x:c r="P17" s="38"/>
      <x:c r="Q17" s="38"/>
      <x:c r="R17" s="38"/>
      <x:c r="S17" s="38"/>
      <x:c r="T17" s="38"/>
      <x:c r="U17" s="38"/>
    </x:row>
    <x:row r="18" ht="23" customHeight="1">
      <x:c r="A18" s="38"/>
      <x:c r="B18" s="51" t="str">
        <x:v>2021-10-15</x:v>
      </x:c>
      <x:c r="C18" s="51" t="str">
        <x:v>Health Care</x:v>
      </x:c>
      <x:c r="D18" s="52" t="n">
        <x:v>100.39234863006037</x:v>
      </x:c>
      <x:c r="E18" s="52" t="n">
        <x:v>1425</x:v>
      </x:c>
      <x:c r="F18" s="52" t="n">
        <x:v>100.39234863006037</x:v>
      </x:c>
      <x:c r="G18" s="52" t="n">
        <x:v>1425</x:v>
      </x:c>
      <x:c r="H18" s="43" t="n">
        <x:f>G18+SUMIFS('Transactions'!$H$24:$H$29,'Transactions'!$C$24:$C$29,"&lt;="&amp;B18,'Transactions'!$E$24:$E$29,C18)</x:f>
        <x:v>1425</x:v>
      </x:c>
      <x:c r="I18" s="43" t="n">
        <x:f>SUMIFS('Transactions'!$H$36:$H$38,'Transactions'!$C$36:$C$38,"&lt;="&amp;B18,'Transactions'!$E$36:$E$38,C18)</x:f>
        <x:v>0</x:v>
      </x:c>
      <x:c r="J18" s="53" t="n">
        <x:f>H18+I18</x:f>
        <x:v>1425</x:v>
      </x:c>
      <x:c r="K18" s="53" t="n">
        <x:f>H18*F18</x:f>
        <x:v>143059.096797836</x:v>
      </x:c>
      <x:c r="L18" s="53" t="n">
        <x:f>J18*D18</x:f>
        <x:v>143059.096797836</x:v>
      </x:c>
      <x:c r="M18" s="53" t="n">
        <x:f>E18*D18</x:f>
        <x:v>143059.096797836</x:v>
      </x:c>
      <x:c r="N18" s="53" t="n">
        <x:f>K18-M18</x:f>
        <x:v>0</x:v>
      </x:c>
      <x:c r="O18" s="53" t="n">
        <x:f>L18-M18</x:f>
        <x:v>0</x:v>
      </x:c>
      <x:c r="P18" s="38"/>
      <x:c r="Q18" s="38"/>
      <x:c r="R18" s="38"/>
      <x:c r="S18" s="38"/>
      <x:c r="T18" s="38"/>
      <x:c r="U18" s="38"/>
    </x:row>
    <x:row r="19" ht="23" customHeight="1">
      <x:c r="A19" s="38"/>
      <x:c r="B19" s="51" t="str">
        <x:v>2021-10-15</x:v>
      </x:c>
      <x:c r="C19" s="51" t="str">
        <x:v>Oil &amp; Gas</x:v>
      </x:c>
      <x:c r="D19" s="52" t="n">
        <x:v>100.96291389198397</x:v>
      </x:c>
      <x:c r="E19" s="52" t="n">
        <x:v>1900</x:v>
      </x:c>
      <x:c r="F19" s="52" t="n">
        <x:v>100.96291389198397</x:v>
      </x:c>
      <x:c r="G19" s="52" t="n">
        <x:v>1900</x:v>
      </x:c>
      <x:c r="H19" s="43" t="n">
        <x:f>G19+SUMIFS('Transactions'!$H$24:$H$29,'Transactions'!$C$24:$C$29,"&lt;="&amp;B19,'Transactions'!$E$24:$E$29,C19)</x:f>
        <x:v>1900</x:v>
      </x:c>
      <x:c r="I19" s="43" t="n">
        <x:f>SUMIFS('Transactions'!$H$36:$H$38,'Transactions'!$C$36:$C$38,"&lt;="&amp;B19,'Transactions'!$E$36:$E$38,C19)</x:f>
        <x:v>0</x:v>
      </x:c>
      <x:c r="J19" s="53" t="n">
        <x:f>H19+I19</x:f>
        <x:v>1900</x:v>
      </x:c>
      <x:c r="K19" s="53" t="n">
        <x:f>H19*F19</x:f>
        <x:v>191829.53639476956</x:v>
      </x:c>
      <x:c r="L19" s="53" t="n">
        <x:f>J19*D19</x:f>
        <x:v>191829.53639476956</x:v>
      </x:c>
      <x:c r="M19" s="53" t="n">
        <x:f>E19*D19</x:f>
        <x:v>191829.53639476956</x:v>
      </x:c>
      <x:c r="N19" s="53" t="n">
        <x:f>K19-M19</x:f>
        <x:v>0</x:v>
      </x:c>
      <x:c r="O19" s="53" t="n">
        <x:f>L19-M19</x:f>
        <x:v>0</x:v>
      </x:c>
      <x:c r="P19" s="38"/>
      <x:c r="Q19" s="38"/>
      <x:c r="R19" s="38"/>
      <x:c r="S19" s="38"/>
      <x:c r="T19" s="38"/>
      <x:c r="U19" s="38"/>
    </x:row>
    <x:row r="20" ht="23" customHeight="1">
      <x:c r="A20" s="38"/>
      <x:c r="B20" s="51" t="str">
        <x:v>2021-10-15</x:v>
      </x:c>
      <x:c r="C20" s="51" t="str">
        <x:v>Financials</x:v>
      </x:c>
      <x:c r="D20" s="52" t="n">
        <x:v>100.5946721508191</x:v>
      </x:c>
      <x:c r="E20" s="52" t="n">
        <x:v>1425</x:v>
      </x:c>
      <x:c r="F20" s="52" t="n">
        <x:v>100.5946721508191</x:v>
      </x:c>
      <x:c r="G20" s="52" t="n">
        <x:v>1425</x:v>
      </x:c>
      <x:c r="H20" s="43" t="n">
        <x:f>G20+SUMIFS('Transactions'!$H$24:$H$29,'Transactions'!$C$24:$C$29,"&lt;="&amp;B20,'Transactions'!$E$24:$E$29,C20)</x:f>
        <x:v>1425</x:v>
      </x:c>
      <x:c r="I20" s="43" t="n">
        <x:f>SUMIFS('Transactions'!$H$36:$H$38,'Transactions'!$C$36:$C$38,"&lt;="&amp;B20,'Transactions'!$E$36:$E$38,C20)</x:f>
        <x:v>0</x:v>
      </x:c>
      <x:c r="J20" s="53" t="n">
        <x:f>H20+I20</x:f>
        <x:v>1425</x:v>
      </x:c>
      <x:c r="K20" s="53" t="n">
        <x:f>H20*F20</x:f>
        <x:v>143347.4078149172</x:v>
      </x:c>
      <x:c r="L20" s="53" t="n">
        <x:f>J20*D20</x:f>
        <x:v>143347.4078149172</x:v>
      </x:c>
      <x:c r="M20" s="53" t="n">
        <x:f>E20*D20</x:f>
        <x:v>143347.4078149172</x:v>
      </x:c>
      <x:c r="N20" s="53" t="n">
        <x:f>K20-M20</x:f>
        <x:v>0</x:v>
      </x:c>
      <x:c r="O20" s="53" t="n">
        <x:f>L20-M20</x:f>
        <x:v>0</x:v>
      </x:c>
      <x:c r="P20" s="38"/>
      <x:c r="Q20" s="38"/>
      <x:c r="R20" s="38"/>
      <x:c r="S20" s="38"/>
      <x:c r="T20" s="38"/>
      <x:c r="U20" s="38"/>
    </x:row>
    <x:row r="21" ht="23" customHeight="1">
      <x:c r="A21" s="38"/>
      <x:c r="B21" s="51" t="str">
        <x:v>2021-10-15</x:v>
      </x:c>
      <x:c r="C21" s="51" t="str">
        <x:v>Renewables</x:v>
      </x:c>
      <x:c r="D21" s="52" t="n">
        <x:v>100.3242251489791</x:v>
      </x:c>
      <x:c r="E21" s="52" t="n">
        <x:v>950</x:v>
      </x:c>
      <x:c r="F21" s="52" t="n">
        <x:v>100.3242251489791</x:v>
      </x:c>
      <x:c r="G21" s="52" t="n">
        <x:v>950</x:v>
      </x:c>
      <x:c r="H21" s="43" t="n">
        <x:f>G21+SUMIFS('Transactions'!$H$24:$H$29,'Transactions'!$C$24:$C$29,"&lt;="&amp;B21,'Transactions'!$E$24:$E$29,C21)</x:f>
        <x:v>950</x:v>
      </x:c>
      <x:c r="I21" s="43" t="n">
        <x:f>SUMIFS('Transactions'!$H$36:$H$38,'Transactions'!$C$36:$C$38,"&lt;="&amp;B21,'Transactions'!$E$36:$E$38,C21)</x:f>
        <x:v>0</x:v>
      </x:c>
      <x:c r="J21" s="53" t="n">
        <x:f>H21+I21</x:f>
        <x:v>950</x:v>
      </x:c>
      <x:c r="K21" s="53" t="n">
        <x:f>H21*F21</x:f>
        <x:v>95308.01389153014</x:v>
      </x:c>
      <x:c r="L21" s="53" t="n">
        <x:f>J21*D21</x:f>
        <x:v>95308.01389153014</x:v>
      </x:c>
      <x:c r="M21" s="53" t="n">
        <x:f>E21*D21</x:f>
        <x:v>95308.01389153014</x:v>
      </x:c>
      <x:c r="N21" s="53" t="n">
        <x:f>K21-M21</x:f>
        <x:v>0</x:v>
      </x:c>
      <x:c r="O21" s="53" t="n">
        <x:f>L21-M21</x:f>
        <x:v>0</x:v>
      </x:c>
      <x:c r="P21" s="38"/>
      <x:c r="Q21" s="38"/>
      <x:c r="R21" s="38"/>
      <x:c r="S21" s="38"/>
      <x:c r="T21" s="38"/>
      <x:c r="U21" s="38"/>
    </x:row>
    <x:row r="22" ht="23" customHeight="1">
      <x:c r="A22" s="38"/>
      <x:c r="B22" s="51" t="str">
        <x:v>2021-10-15</x:v>
      </x:c>
      <x:c r="C22" s="51" t="str">
        <x:v>Consumer Discretionary</x:v>
      </x:c>
      <x:c r="D22" s="52" t="n">
        <x:v>100.26634983428342</x:v>
      </x:c>
      <x:c r="E22" s="52" t="n">
        <x:v>475</x:v>
      </x:c>
      <x:c r="F22" s="52" t="n">
        <x:v>100.26634983428342</x:v>
      </x:c>
      <x:c r="G22" s="52" t="n">
        <x:v>475</x:v>
      </x:c>
      <x:c r="H22" s="43" t="n">
        <x:f>G22+SUMIFS('Transactions'!$H$24:$H$29,'Transactions'!$C$24:$C$29,"&lt;="&amp;B22,'Transactions'!$E$24:$E$29,C22)</x:f>
        <x:v>475</x:v>
      </x:c>
      <x:c r="I22" s="43" t="n">
        <x:f>SUMIFS('Transactions'!$H$36:$H$38,'Transactions'!$C$36:$C$38,"&lt;="&amp;B22,'Transactions'!$E$36:$E$38,C22)</x:f>
        <x:v>0</x:v>
      </x:c>
      <x:c r="J22" s="53" t="n">
        <x:f>H22+I22</x:f>
        <x:v>475</x:v>
      </x:c>
      <x:c r="K22" s="53" t="n">
        <x:f>H22*F22</x:f>
        <x:v>47626.516171284624</x:v>
      </x:c>
      <x:c r="L22" s="53" t="n">
        <x:f>J22*D22</x:f>
        <x:v>47626.516171284624</x:v>
      </x:c>
      <x:c r="M22" s="53" t="n">
        <x:f>E22*D22</x:f>
        <x:v>47626.516171284624</x:v>
      </x:c>
      <x:c r="N22" s="53" t="n">
        <x:f>K22-M22</x:f>
        <x:v>0</x:v>
      </x:c>
      <x:c r="O22" s="53" t="n">
        <x:f>L22-M22</x:f>
        <x:v>0</x:v>
      </x:c>
      <x:c r="P22" s="38"/>
      <x:c r="Q22" s="38"/>
      <x:c r="R22" s="38"/>
      <x:c r="S22" s="38"/>
      <x:c r="T22" s="38"/>
      <x:c r="U22" s="38"/>
    </x:row>
    <x:row r="23" ht="23" customHeight="1">
      <x:c r="A23" s="38"/>
      <x:c r="B23" s="51" t="str">
        <x:v>2021-10-15</x:v>
      </x:c>
      <x:c r="C23" s="51" t="str">
        <x:v>Cash</x:v>
      </x:c>
      <x:c r="D23" s="52" t="n">
        <x:v>1</x:v>
      </x:c>
      <x:c r="E23" s="52" t="n">
        <x:v>50000</x:v>
      </x:c>
      <x:c r="F23" s="52" t="n">
        <x:v>1</x:v>
      </x:c>
      <x:c r="G23" s="52" t="n">
        <x:v>50000</x:v>
      </x:c>
      <x:c r="H23" s="43" t="n">
        <x:f>G23+SUMIFS('Transactions'!$I$24:$I$29,'Transactions'!$C$24:$C$29,"&lt;="&amp;B23)</x:f>
        <x:v>50000</x:v>
      </x:c>
      <x:c r="I23" s="43" t="n">
        <x:f>SUMIFS('Transactions'!$I$36:$I$38,'Transactions'!$C$36:$C$38,"&lt;="&amp;B23)</x:f>
        <x:v>0</x:v>
      </x:c>
      <x:c r="J23" s="53" t="n">
        <x:f>H23+I23</x:f>
        <x:v>50000</x:v>
      </x:c>
      <x:c r="K23" s="53" t="n">
        <x:f>H23*F23</x:f>
        <x:v>50000</x:v>
      </x:c>
      <x:c r="L23" s="53" t="n">
        <x:f>J23*D23</x:f>
        <x:v>50000</x:v>
      </x:c>
      <x:c r="M23" s="53" t="n">
        <x:f>E23*D23</x:f>
        <x:v>50000</x:v>
      </x:c>
      <x:c r="N23" s="53" t="n">
        <x:f>K23-M23</x:f>
        <x:v>0</x:v>
      </x:c>
      <x:c r="O23" s="53" t="n">
        <x:f>L23-M23</x:f>
        <x:v>0</x:v>
      </x:c>
      <x:c r="P23" s="38"/>
      <x:c r="Q23" s="38"/>
      <x:c r="R23" s="38"/>
      <x:c r="S23" s="38"/>
      <x:c r="T23" s="38"/>
      <x:c r="U23" s="38"/>
    </x:row>
    <x:row r="24" ht="23" customHeight="1">
      <x:c r="A24" s="38"/>
      <x:c r="B24" s="51" t="str">
        <x:v>2021-10-31</x:v>
      </x:c>
      <x:c r="C24" s="51" t="str">
        <x:v>Technology</x:v>
      </x:c>
      <x:c r="D24" s="52" t="n">
        <x:v>99.34925656437836</x:v>
      </x:c>
      <x:c r="E24" s="52" t="n">
        <x:v>3325</x:v>
      </x:c>
      <x:c r="F24" s="52" t="n">
        <x:v>99.34925656437836</x:v>
      </x:c>
      <x:c r="G24" s="52" t="n">
        <x:v>3325</x:v>
      </x:c>
      <x:c r="H24" s="43" t="n">
        <x:f>G24+SUMIFS('Transactions'!$H$24:$H$29,'Transactions'!$C$24:$C$29,"&lt;="&amp;B24,'Transactions'!$E$24:$E$29,C24)</x:f>
        <x:v>3325</x:v>
      </x:c>
      <x:c r="I24" s="43" t="n">
        <x:f>SUMIFS('Transactions'!$H$36:$H$38,'Transactions'!$C$36:$C$38,"&lt;="&amp;B24,'Transactions'!$E$36:$E$38,C24)</x:f>
        <x:v>0</x:v>
      </x:c>
      <x:c r="J24" s="53" t="n">
        <x:f>H24+I24</x:f>
        <x:v>3325</x:v>
      </x:c>
      <x:c r="K24" s="53" t="n">
        <x:f>H24*F24</x:f>
        <x:v>330336.2780765581</x:v>
      </x:c>
      <x:c r="L24" s="53" t="n">
        <x:f>J24*D24</x:f>
        <x:v>330336.2780765581</x:v>
      </x:c>
      <x:c r="M24" s="53" t="n">
        <x:f>E24*D24</x:f>
        <x:v>330336.2780765581</x:v>
      </x:c>
      <x:c r="N24" s="53" t="n">
        <x:f>K24-M24</x:f>
        <x:v>0</x:v>
      </x:c>
      <x:c r="O24" s="53" t="n">
        <x:f>L24-M24</x:f>
        <x:v>0</x:v>
      </x:c>
      <x:c r="P24" s="38"/>
      <x:c r="Q24" s="38"/>
      <x:c r="R24" s="38"/>
      <x:c r="S24" s="38"/>
      <x:c r="T24" s="38"/>
      <x:c r="U24" s="38"/>
    </x:row>
    <x:row r="25" ht="23" customHeight="1">
      <x:c r="A25" s="38"/>
      <x:c r="B25" s="51" t="str">
        <x:v>2021-10-31</x:v>
      </x:c>
      <x:c r="C25" s="51" t="str">
        <x:v>Health Care</x:v>
      </x:c>
      <x:c r="D25" s="52" t="n">
        <x:v>100.78623663459582</x:v>
      </x:c>
      <x:c r="E25" s="52" t="n">
        <x:v>1425</x:v>
      </x:c>
      <x:c r="F25" s="52" t="n">
        <x:v>100.78623663459582</x:v>
      </x:c>
      <x:c r="G25" s="52" t="n">
        <x:v>1425</x:v>
      </x:c>
      <x:c r="H25" s="43" t="n">
        <x:f>G25+SUMIFS('Transactions'!$H$24:$H$29,'Transactions'!$C$24:$C$29,"&lt;="&amp;B25,'Transactions'!$E$24:$E$29,C25)</x:f>
        <x:v>1425</x:v>
      </x:c>
      <x:c r="I25" s="43" t="n">
        <x:f>SUMIFS('Transactions'!$H$36:$H$38,'Transactions'!$C$36:$C$38,"&lt;="&amp;B25,'Transactions'!$E$36:$E$38,C25)</x:f>
        <x:v>0</x:v>
      </x:c>
      <x:c r="J25" s="53" t="n">
        <x:f>H25+I25</x:f>
        <x:v>1425</x:v>
      </x:c>
      <x:c r="K25" s="53" t="n">
        <x:f>H25*F25</x:f>
        <x:v>143620.38720429904</x:v>
      </x:c>
      <x:c r="L25" s="53" t="n">
        <x:f>J25*D25</x:f>
        <x:v>143620.38720429904</x:v>
      </x:c>
      <x:c r="M25" s="53" t="n">
        <x:f>E25*D25</x:f>
        <x:v>143620.38720429904</x:v>
      </x:c>
      <x:c r="N25" s="53" t="n">
        <x:f>K25-M25</x:f>
        <x:v>0</x:v>
      </x:c>
      <x:c r="O25" s="53" t="n">
        <x:f>L25-M25</x:f>
        <x:v>0</x:v>
      </x:c>
      <x:c r="P25" s="38"/>
      <x:c r="Q25" s="38"/>
      <x:c r="R25" s="38"/>
      <x:c r="S25" s="38"/>
      <x:c r="T25" s="38"/>
      <x:c r="U25" s="38"/>
    </x:row>
    <x:row r="26" ht="23" customHeight="1">
      <x:c r="A26" s="38"/>
      <x:c r="B26" s="51" t="str">
        <x:v>2021-10-31</x:v>
      </x:c>
      <x:c r="C26" s="51" t="str">
        <x:v>Oil &amp; Gas</x:v>
      </x:c>
      <x:c r="D26" s="52" t="n">
        <x:v>101.93509981560169</x:v>
      </x:c>
      <x:c r="E26" s="52" t="n">
        <x:v>1900</x:v>
      </x:c>
      <x:c r="F26" s="52" t="n">
        <x:v>101.93509981560169</x:v>
      </x:c>
      <x:c r="G26" s="52" t="n">
        <x:v>1900</x:v>
      </x:c>
      <x:c r="H26" s="43" t="n">
        <x:f>G26+SUMIFS('Transactions'!$H$24:$H$29,'Transactions'!$C$24:$C$29,"&lt;="&amp;B26,'Transactions'!$E$24:$E$29,C26)</x:f>
        <x:v>1900</x:v>
      </x:c>
      <x:c r="I26" s="43" t="n">
        <x:f>SUMIFS('Transactions'!$H$36:$H$38,'Transactions'!$C$36:$C$38,"&lt;="&amp;B26,'Transactions'!$E$36:$E$38,C26)</x:f>
        <x:v>0</x:v>
      </x:c>
      <x:c r="J26" s="53" t="n">
        <x:f>H26+I26</x:f>
        <x:v>1900</x:v>
      </x:c>
      <x:c r="K26" s="53" t="n">
        <x:f>H26*F26</x:f>
        <x:v>193676.6896496432</x:v>
      </x:c>
      <x:c r="L26" s="53" t="n">
        <x:f>J26*D26</x:f>
        <x:v>193676.6896496432</x:v>
      </x:c>
      <x:c r="M26" s="53" t="n">
        <x:f>E26*D26</x:f>
        <x:v>193676.6896496432</x:v>
      </x:c>
      <x:c r="N26" s="53" t="n">
        <x:f>K26-M26</x:f>
        <x:v>0</x:v>
      </x:c>
      <x:c r="O26" s="53" t="n">
        <x:f>L26-M26</x:f>
        <x:v>0</x:v>
      </x:c>
      <x:c r="P26" s="38"/>
      <x:c r="Q26" s="38"/>
      <x:c r="R26" s="38"/>
      <x:c r="S26" s="38"/>
      <x:c r="T26" s="38"/>
      <x:c r="U26" s="38"/>
    </x:row>
    <x:row r="27" ht="23" customHeight="1">
      <x:c r="A27" s="38"/>
      <x:c r="B27" s="51" t="str">
        <x:v>2021-10-31</x:v>
      </x:c>
      <x:c r="C27" s="51" t="str">
        <x:v>Financials</x:v>
      </x:c>
      <x:c r="D27" s="52" t="n">
        <x:v>101.1928806513078</x:v>
      </x:c>
      <x:c r="E27" s="52" t="n">
        <x:v>1425</x:v>
      </x:c>
      <x:c r="F27" s="52" t="n">
        <x:v>101.1928806513078</x:v>
      </x:c>
      <x:c r="G27" s="52" t="n">
        <x:v>1425</x:v>
      </x:c>
      <x:c r="H27" s="43" t="n">
        <x:f>G27+SUMIFS('Transactions'!$H$24:$H$29,'Transactions'!$C$24:$C$29,"&lt;="&amp;B27,'Transactions'!$E$24:$E$29,C27)</x:f>
        <x:v>1425</x:v>
      </x:c>
      <x:c r="I27" s="43" t="n">
        <x:f>SUMIFS('Transactions'!$H$36:$H$38,'Transactions'!$C$36:$C$38,"&lt;="&amp;B27,'Transactions'!$E$36:$E$38,C27)</x:f>
        <x:v>0</x:v>
      </x:c>
      <x:c r="J27" s="53" t="n">
        <x:f>H27+I27</x:f>
        <x:v>1425</x:v>
      </x:c>
      <x:c r="K27" s="53" t="n">
        <x:f>H27*F27</x:f>
        <x:v>144199.8549281136</x:v>
      </x:c>
      <x:c r="L27" s="53" t="n">
        <x:f>J27*D27</x:f>
        <x:v>144199.8549281136</x:v>
      </x:c>
      <x:c r="M27" s="53" t="n">
        <x:f>E27*D27</x:f>
        <x:v>144199.8549281136</x:v>
      </x:c>
      <x:c r="N27" s="53" t="n">
        <x:f>K27-M27</x:f>
        <x:v>0</x:v>
      </x:c>
      <x:c r="O27" s="53" t="n">
        <x:f>L27-M27</x:f>
        <x:v>0</x:v>
      </x:c>
      <x:c r="P27" s="38"/>
      <x:c r="Q27" s="38"/>
      <x:c r="R27" s="38"/>
      <x:c r="S27" s="38"/>
      <x:c r="T27" s="38"/>
      <x:c r="U27" s="38"/>
    </x:row>
    <x:row r="28" ht="23" customHeight="1">
      <x:c r="A28" s="38"/>
      <x:c r="B28" s="51" t="str">
        <x:v>2021-10-31</x:v>
      </x:c>
      <x:c r="C28" s="51" t="str">
        <x:v>Renewables</x:v>
      </x:c>
      <x:c r="D28" s="52" t="n">
        <x:v>100.64950151743051</x:v>
      </x:c>
      <x:c r="E28" s="52" t="n">
        <x:v>950</x:v>
      </x:c>
      <x:c r="F28" s="52" t="n">
        <x:v>100.64950151743051</x:v>
      </x:c>
      <x:c r="G28" s="52" t="n">
        <x:v>950</x:v>
      </x:c>
      <x:c r="H28" s="43" t="n">
        <x:f>G28+SUMIFS('Transactions'!$H$24:$H$29,'Transactions'!$C$24:$C$29,"&lt;="&amp;B28,'Transactions'!$E$24:$E$29,C28)</x:f>
        <x:v>950</x:v>
      </x:c>
      <x:c r="I28" s="43" t="n">
        <x:f>SUMIFS('Transactions'!$H$36:$H$38,'Transactions'!$C$36:$C$38,"&lt;="&amp;B28,'Transactions'!$E$36:$E$38,C28)</x:f>
        <x:v>0</x:v>
      </x:c>
      <x:c r="J28" s="53" t="n">
        <x:f>H28+I28</x:f>
        <x:v>950</x:v>
      </x:c>
      <x:c r="K28" s="53" t="n">
        <x:f>H28*F28</x:f>
        <x:v>95617.02644155898</x:v>
      </x:c>
      <x:c r="L28" s="53" t="n">
        <x:f>J28*D28</x:f>
        <x:v>95617.02644155898</x:v>
      </x:c>
      <x:c r="M28" s="53" t="n">
        <x:f>E28*D28</x:f>
        <x:v>95617.02644155898</x:v>
      </x:c>
      <x:c r="N28" s="53" t="n">
        <x:f>K28-M28</x:f>
        <x:v>0</x:v>
      </x:c>
      <x:c r="O28" s="53" t="n">
        <x:f>L28-M28</x:f>
        <x:v>0</x:v>
      </x:c>
      <x:c r="P28" s="38"/>
      <x:c r="Q28" s="38"/>
      <x:c r="R28" s="38"/>
      <x:c r="S28" s="38"/>
      <x:c r="T28" s="38"/>
      <x:c r="U28" s="38"/>
    </x:row>
    <x:row r="29" ht="23" customHeight="1">
      <x:c r="A29" s="38"/>
      <x:c r="B29" s="51" t="str">
        <x:v>2021-10-31</x:v>
      </x:c>
      <x:c r="C29" s="51" t="str">
        <x:v>Consumer Discretionary</x:v>
      </x:c>
      <x:c r="D29" s="52" t="n">
        <x:v>100.53340909090909</x:v>
      </x:c>
      <x:c r="E29" s="52" t="n">
        <x:v>475</x:v>
      </x:c>
      <x:c r="F29" s="52" t="n">
        <x:v>100.53340909090909</x:v>
      </x:c>
      <x:c r="G29" s="52" t="n">
        <x:v>475</x:v>
      </x:c>
      <x:c r="H29" s="43" t="n">
        <x:f>G29+SUMIFS('Transactions'!$H$24:$H$29,'Transactions'!$C$24:$C$29,"&lt;="&amp;B29,'Transactions'!$E$24:$E$29,C29)</x:f>
        <x:v>475</x:v>
      </x:c>
      <x:c r="I29" s="43" t="n">
        <x:f>SUMIFS('Transactions'!$H$36:$H$38,'Transactions'!$C$36:$C$38,"&lt;="&amp;B29,'Transactions'!$E$36:$E$38,C29)</x:f>
        <x:v>0</x:v>
      </x:c>
      <x:c r="J29" s="53" t="n">
        <x:f>H29+I29</x:f>
        <x:v>475</x:v>
      </x:c>
      <x:c r="K29" s="53" t="n">
        <x:f>H29*F29</x:f>
        <x:v>47753.369318181816</x:v>
      </x:c>
      <x:c r="L29" s="53" t="n">
        <x:f>J29*D29</x:f>
        <x:v>47753.369318181816</x:v>
      </x:c>
      <x:c r="M29" s="53" t="n">
        <x:f>E29*D29</x:f>
        <x:v>47753.369318181816</x:v>
      </x:c>
      <x:c r="N29" s="53" t="n">
        <x:f>K29-M29</x:f>
        <x:v>0</x:v>
      </x:c>
      <x:c r="O29" s="53" t="n">
        <x:f>L29-M29</x:f>
        <x:v>0</x:v>
      </x:c>
      <x:c r="P29" s="38"/>
      <x:c r="Q29" s="38"/>
      <x:c r="R29" s="38"/>
      <x:c r="S29" s="38"/>
      <x:c r="T29" s="38"/>
      <x:c r="U29" s="38"/>
    </x:row>
    <x:row r="30" ht="23" customHeight="1">
      <x:c r="A30" s="38"/>
      <x:c r="B30" s="51" t="str">
        <x:v>2021-10-31</x:v>
      </x:c>
      <x:c r="C30" s="51" t="str">
        <x:v>Cash</x:v>
      </x:c>
      <x:c r="D30" s="52" t="n">
        <x:v>1</x:v>
      </x:c>
      <x:c r="E30" s="52" t="n">
        <x:v>49750</x:v>
      </x:c>
      <x:c r="F30" s="52" t="n">
        <x:v>1</x:v>
      </x:c>
      <x:c r="G30" s="52" t="n">
        <x:v>50000</x:v>
      </x:c>
      <x:c r="H30" s="43" t="n">
        <x:f>G30+SUMIFS('Transactions'!$I$24:$I$29,'Transactions'!$C$24:$C$29,"&lt;="&amp;B30)</x:f>
        <x:v>49750</x:v>
      </x:c>
      <x:c r="I30" s="43" t="n">
        <x:f>SUMIFS('Transactions'!$I$36:$I$38,'Transactions'!$C$36:$C$38,"&lt;="&amp;B30)</x:f>
        <x:v>0</x:v>
      </x:c>
      <x:c r="J30" s="53" t="n">
        <x:f>H30+I30</x:f>
        <x:v>49750</x:v>
      </x:c>
      <x:c r="K30" s="53" t="n">
        <x:f>H30*F30</x:f>
        <x:v>49750</x:v>
      </x:c>
      <x:c r="L30" s="53" t="n">
        <x:f>J30*D30</x:f>
        <x:v>49750</x:v>
      </x:c>
      <x:c r="M30" s="53" t="n">
        <x:f>E30*D30</x:f>
        <x:v>49750</x:v>
      </x:c>
      <x:c r="N30" s="53" t="n">
        <x:f>K30-M30</x:f>
        <x:v>0</x:v>
      </x:c>
      <x:c r="O30" s="53" t="n">
        <x:f>L30-M30</x:f>
        <x:v>0</x:v>
      </x:c>
      <x:c r="P30" s="38"/>
      <x:c r="Q30" s="38"/>
      <x:c r="R30" s="38"/>
      <x:c r="S30" s="38"/>
      <x:c r="T30" s="38"/>
      <x:c r="U30" s="38"/>
    </x:row>
    <x:row r="31" ht="23" customHeight="1">
      <x:c r="A31" s="38"/>
      <x:c r="B31" s="51" t="str">
        <x:v>2021-11-15</x:v>
      </x:c>
      <x:c r="C31" s="51" t="str">
        <x:v>Technology</x:v>
      </x:c>
      <x:c r="D31" s="52" t="n">
        <x:v>98.81521549201459</x:v>
      </x:c>
      <x:c r="E31" s="52" t="n">
        <x:v>3830.9949497761363</x:v>
      </x:c>
      <x:c r="F31" s="52" t="n">
        <x:v>98.81521549201459</x:v>
      </x:c>
      <x:c r="G31" s="52" t="n">
        <x:v>3325</x:v>
      </x:c>
      <x:c r="H31" s="43" t="n">
        <x:f>G31+SUMIFS('Transactions'!$H$24:$H$29,'Transactions'!$C$24:$C$29,"&lt;="&amp;B31,'Transactions'!$E$24:$E$29,C31)</x:f>
        <x:v>3830.9949497761363</x:v>
      </x:c>
      <x:c r="I31" s="43" t="n">
        <x:f>SUMIFS('Transactions'!$H$36:$H$38,'Transactions'!$C$36:$C$38,"&lt;="&amp;B31,'Transactions'!$E$36:$E$38,C31)</x:f>
        <x:v>0</x:v>
      </x:c>
      <x:c r="J31" s="53" t="n">
        <x:f>H31+I31</x:f>
        <x:v>3830.9949497761363</x:v>
      </x:c>
      <x:c r="K31" s="53" t="n">
        <x:f>H31*F31</x:f>
        <x:v>378560.5915109485</x:v>
      </x:c>
      <x:c r="L31" s="53" t="n">
        <x:f>J31*D31</x:f>
        <x:v>378560.5915109485</x:v>
      </x:c>
      <x:c r="M31" s="53" t="n">
        <x:f>E31*D31</x:f>
        <x:v>378560.5915109485</x:v>
      </x:c>
      <x:c r="N31" s="53" t="n">
        <x:f>K31-M31</x:f>
        <x:v>0</x:v>
      </x:c>
      <x:c r="O31" s="53" t="n">
        <x:f>L31-M31</x:f>
        <x:v>0</x:v>
      </x:c>
      <x:c r="P31" s="38"/>
      <x:c r="Q31" s="38"/>
      <x:c r="R31" s="38"/>
      <x:c r="S31" s="38"/>
      <x:c r="T31" s="38"/>
      <x:c r="U31" s="38"/>
    </x:row>
    <x:row r="32" ht="23" customHeight="1">
      <x:c r="A32" s="38"/>
      <x:c r="B32" s="51" t="str">
        <x:v>2021-11-15</x:v>
      </x:c>
      <x:c r="C32" s="51" t="str">
        <x:v>Health Care</x:v>
      </x:c>
      <x:c r="D32" s="52" t="n">
        <x:v>101.02585406532609</x:v>
      </x:c>
      <x:c r="E32" s="52" t="n">
        <x:v>1425</x:v>
      </x:c>
      <x:c r="F32" s="52" t="n">
        <x:v>101.02585406532609</x:v>
      </x:c>
      <x:c r="G32" s="52" t="n">
        <x:v>1425</x:v>
      </x:c>
      <x:c r="H32" s="43" t="n">
        <x:f>G32+SUMIFS('Transactions'!$H$24:$H$29,'Transactions'!$C$24:$C$29,"&lt;="&amp;B32,'Transactions'!$E$24:$E$29,C32)</x:f>
        <x:v>1425</x:v>
      </x:c>
      <x:c r="I32" s="43" t="n">
        <x:f>SUMIFS('Transactions'!$H$36:$H$38,'Transactions'!$C$36:$C$38,"&lt;="&amp;B32,'Transactions'!$E$36:$E$38,C32)</x:f>
        <x:v>0</x:v>
      </x:c>
      <x:c r="J32" s="53" t="n">
        <x:f>H32+I32</x:f>
        <x:v>1425</x:v>
      </x:c>
      <x:c r="K32" s="53" t="n">
        <x:f>H32*F32</x:f>
        <x:v>143961.84204308968</x:v>
      </x:c>
      <x:c r="L32" s="53" t="n">
        <x:f>J32*D32</x:f>
        <x:v>143961.84204308968</x:v>
      </x:c>
      <x:c r="M32" s="53" t="n">
        <x:f>E32*D32</x:f>
        <x:v>143961.84204308968</x:v>
      </x:c>
      <x:c r="N32" s="53" t="n">
        <x:f>K32-M32</x:f>
        <x:v>0</x:v>
      </x:c>
      <x:c r="O32" s="53" t="n">
        <x:f>L32-M32</x:f>
        <x:v>0</x:v>
      </x:c>
      <x:c r="P32" s="38"/>
      <x:c r="Q32" s="38"/>
      <x:c r="R32" s="38"/>
      <x:c r="S32" s="38"/>
      <x:c r="T32" s="38"/>
      <x:c r="U32" s="38"/>
    </x:row>
    <x:row r="33" ht="23" customHeight="1">
      <x:c r="A33" s="38"/>
      <x:c r="B33" s="51" t="str">
        <x:v>2021-11-15</x:v>
      </x:c>
      <x:c r="C33" s="51" t="str">
        <x:v>Oil &amp; Gas</x:v>
      </x:c>
      <x:c r="D33" s="52" t="n">
        <x:v>103.44105115503972</x:v>
      </x:c>
      <x:c r="E33" s="52" t="n">
        <x:v>1900</x:v>
      </x:c>
      <x:c r="F33" s="52" t="n">
        <x:v>103.44105115503972</x:v>
      </x:c>
      <x:c r="G33" s="52" t="n">
        <x:v>1900</x:v>
      </x:c>
      <x:c r="H33" s="43" t="n">
        <x:f>G33+SUMIFS('Transactions'!$H$24:$H$29,'Transactions'!$C$24:$C$29,"&lt;="&amp;B33,'Transactions'!$E$24:$E$29,C33)</x:f>
        <x:v>1900</x:v>
      </x:c>
      <x:c r="I33" s="43" t="n">
        <x:f>SUMIFS('Transactions'!$H$36:$H$38,'Transactions'!$C$36:$C$38,"&lt;="&amp;B33,'Transactions'!$E$36:$E$38,C33)</x:f>
        <x:v>0</x:v>
      </x:c>
      <x:c r="J33" s="53" t="n">
        <x:f>H33+I33</x:f>
        <x:v>1900</x:v>
      </x:c>
      <x:c r="K33" s="53" t="n">
        <x:f>H33*F33</x:f>
        <x:v>196537.99719457547</x:v>
      </x:c>
      <x:c r="L33" s="53" t="n">
        <x:f>J33*D33</x:f>
        <x:v>196537.99719457547</x:v>
      </x:c>
      <x:c r="M33" s="53" t="n">
        <x:f>E33*D33</x:f>
        <x:v>196537.99719457547</x:v>
      </x:c>
      <x:c r="N33" s="53" t="n">
        <x:f>K33-M33</x:f>
        <x:v>0</x:v>
      </x:c>
      <x:c r="O33" s="53" t="n">
        <x:f>L33-M33</x:f>
        <x:v>0</x:v>
      </x:c>
      <x:c r="P33" s="38"/>
      <x:c r="Q33" s="38"/>
      <x:c r="R33" s="38"/>
      <x:c r="S33" s="38"/>
      <x:c r="T33" s="38"/>
      <x:c r="U33" s="38"/>
    </x:row>
    <x:row r="34" ht="23" customHeight="1">
      <x:c r="A34" s="38"/>
      <x:c r="B34" s="51" t="str">
        <x:v>2021-11-15</x:v>
      </x:c>
      <x:c r="C34" s="51" t="str">
        <x:v>Financials</x:v>
      </x:c>
      <x:c r="D34" s="52" t="n">
        <x:v>101.69810607665913</x:v>
      </x:c>
      <x:c r="E34" s="52" t="n">
        <x:v>1425</x:v>
      </x:c>
      <x:c r="F34" s="52" t="n">
        <x:v>101.69810607665913</x:v>
      </x:c>
      <x:c r="G34" s="52" t="n">
        <x:v>1425</x:v>
      </x:c>
      <x:c r="H34" s="43" t="n">
        <x:f>G34+SUMIFS('Transactions'!$H$24:$H$29,'Transactions'!$C$24:$C$29,"&lt;="&amp;B34,'Transactions'!$E$24:$E$29,C34)</x:f>
        <x:v>1425</x:v>
      </x:c>
      <x:c r="I34" s="43" t="n">
        <x:f>SUMIFS('Transactions'!$H$36:$H$38,'Transactions'!$C$36:$C$38,"&lt;="&amp;B34,'Transactions'!$E$36:$E$38,C34)</x:f>
        <x:v>0</x:v>
      </x:c>
      <x:c r="J34" s="53" t="n">
        <x:f>H34+I34</x:f>
        <x:v>1425</x:v>
      </x:c>
      <x:c r="K34" s="53" t="n">
        <x:f>H34*F34</x:f>
        <x:v>144919.80115923926</x:v>
      </x:c>
      <x:c r="L34" s="53" t="n">
        <x:f>J34*D34</x:f>
        <x:v>144919.80115923926</x:v>
      </x:c>
      <x:c r="M34" s="53" t="n">
        <x:f>E34*D34</x:f>
        <x:v>144919.80115923926</x:v>
      </x:c>
      <x:c r="N34" s="53" t="n">
        <x:f>K34-M34</x:f>
        <x:v>0</x:v>
      </x:c>
      <x:c r="O34" s="53" t="n">
        <x:f>L34-M34</x:f>
        <x:v>0</x:v>
      </x:c>
      <x:c r="P34" s="38"/>
      <x:c r="Q34" s="38"/>
      <x:c r="R34" s="38"/>
      <x:c r="S34" s="38"/>
      <x:c r="T34" s="38"/>
      <x:c r="U34" s="38"/>
    </x:row>
    <x:row r="35" ht="23" customHeight="1">
      <x:c r="A35" s="38"/>
      <x:c r="B35" s="51" t="str">
        <x:v>2021-11-15</x:v>
      </x:c>
      <x:c r="C35" s="51" t="str">
        <x:v>Renewables</x:v>
      </x:c>
      <x:c r="D35" s="52" t="n">
        <x:v>100.96425625092368</x:v>
      </x:c>
      <x:c r="E35" s="52" t="n">
        <x:v>1346.1798114036428</x:v>
      </x:c>
      <x:c r="F35" s="52" t="n">
        <x:v>100.96425625092368</x:v>
      </x:c>
      <x:c r="G35" s="52" t="n">
        <x:v>950</x:v>
      </x:c>
      <x:c r="H35" s="43" t="n">
        <x:f>G35+SUMIFS('Transactions'!$H$24:$H$29,'Transactions'!$C$24:$C$29,"&lt;="&amp;B35,'Transactions'!$E$24:$E$29,C35)</x:f>
        <x:v>950</x:v>
      </x:c>
      <x:c r="I35" s="43" t="n">
        <x:f>SUMIFS('Transactions'!$H$36:$H$38,'Transactions'!$C$36:$C$38,"&lt;="&amp;B35,'Transactions'!$E$36:$E$38,C35)</x:f>
        <x:v>396.1798114036427</x:v>
      </x:c>
      <x:c r="J35" s="53" t="n">
        <x:f>H35+I35</x:f>
        <x:v>1346.1798114036428</x:v>
      </x:c>
      <x:c r="K35" s="53" t="n">
        <x:f>H35*F35</x:f>
        <x:v>95916.0434383775</x:v>
      </x:c>
      <x:c r="L35" s="53" t="n">
        <x:f>J35*D35</x:f>
        <x:v>135916.0434383775</x:v>
      </x:c>
      <x:c r="M35" s="53" t="n">
        <x:f>E35*D35</x:f>
        <x:v>135916.0434383775</x:v>
      </x:c>
      <x:c r="N35" s="53" t="n">
        <x:f>K35-M35</x:f>
        <x:v>-40000</x:v>
      </x:c>
      <x:c r="O35" s="53" t="n">
        <x:f>L35-M35</x:f>
        <x:v>0</x:v>
      </x:c>
      <x:c r="P35" s="38"/>
      <x:c r="Q35" s="38"/>
      <x:c r="R35" s="38"/>
      <x:c r="S35" s="38"/>
      <x:c r="T35" s="38"/>
      <x:c r="U35" s="38"/>
    </x:row>
    <x:row r="36" ht="23" customHeight="1">
      <x:c r="A36" s="38"/>
      <x:c r="B36" s="51" t="str">
        <x:v>2021-11-15</x:v>
      </x:c>
      <x:c r="C36" s="51" t="str">
        <x:v>Consumer Discretionary</x:v>
      </x:c>
      <x:c r="D36" s="52" t="n">
        <x:v>100.79280479252571</x:v>
      </x:c>
      <x:c r="E36" s="52" t="n">
        <x:v>475</x:v>
      </x:c>
      <x:c r="F36" s="52" t="n">
        <x:v>100.79280479252571</x:v>
      </x:c>
      <x:c r="G36" s="52" t="n">
        <x:v>475</x:v>
      </x:c>
      <x:c r="H36" s="43" t="n">
        <x:f>G36+SUMIFS('Transactions'!$H$24:$H$29,'Transactions'!$C$24:$C$29,"&lt;="&amp;B36,'Transactions'!$E$24:$E$29,C36)</x:f>
        <x:v>475</x:v>
      </x:c>
      <x:c r="I36" s="43" t="n">
        <x:f>SUMIFS('Transactions'!$H$36:$H$38,'Transactions'!$C$36:$C$38,"&lt;="&amp;B36,'Transactions'!$E$36:$E$38,C36)</x:f>
        <x:v>0</x:v>
      </x:c>
      <x:c r="J36" s="53" t="n">
        <x:f>H36+I36</x:f>
        <x:v>475</x:v>
      </x:c>
      <x:c r="K36" s="53" t="n">
        <x:f>H36*F36</x:f>
        <x:v>47876.58227644971</x:v>
      </x:c>
      <x:c r="L36" s="53" t="n">
        <x:f>J36*D36</x:f>
        <x:v>47876.58227644971</x:v>
      </x:c>
      <x:c r="M36" s="53" t="n">
        <x:f>E36*D36</x:f>
        <x:v>47876.58227644971</x:v>
      </x:c>
      <x:c r="N36" s="53" t="n">
        <x:f>K36-M36</x:f>
        <x:v>0</x:v>
      </x:c>
      <x:c r="O36" s="53" t="n">
        <x:f>L36-M36</x:f>
        <x:v>0</x:v>
      </x:c>
      <x:c r="P36" s="38"/>
      <x:c r="Q36" s="38"/>
      <x:c r="R36" s="38"/>
      <x:c r="S36" s="38"/>
      <x:c r="T36" s="38"/>
      <x:c r="U36" s="38"/>
    </x:row>
    <x:row r="37" ht="23" customHeight="1">
      <x:c r="A37" s="38"/>
      <x:c r="B37" s="51" t="str">
        <x:v>2021-11-15</x:v>
      </x:c>
      <x:c r="C37" s="51" t="str">
        <x:v>Cash</x:v>
      </x:c>
      <x:c r="D37" s="52" t="n">
        <x:v>1</x:v>
      </x:c>
      <x:c r="E37" s="52" t="n">
        <x:v>59750</x:v>
      </x:c>
      <x:c r="F37" s="52" t="n">
        <x:v>1</x:v>
      </x:c>
      <x:c r="G37" s="52" t="n">
        <x:v>50000</x:v>
      </x:c>
      <x:c r="H37" s="43" t="n">
        <x:f>G37+SUMIFS('Transactions'!$I$24:$I$29,'Transactions'!$C$24:$C$29,"&lt;="&amp;B37)</x:f>
        <x:v>99750</x:v>
      </x:c>
      <x:c r="I37" s="43" t="n">
        <x:f>SUMIFS('Transactions'!$I$36:$I$38,'Transactions'!$C$36:$C$38,"&lt;="&amp;B37)</x:f>
        <x:v>-40000</x:v>
      </x:c>
      <x:c r="J37" s="53" t="n">
        <x:f>H37+I37</x:f>
        <x:v>59750</x:v>
      </x:c>
      <x:c r="K37" s="53" t="n">
        <x:f>H37*F37</x:f>
        <x:v>99750</x:v>
      </x:c>
      <x:c r="L37" s="53" t="n">
        <x:f>J37*D37</x:f>
        <x:v>59750</x:v>
      </x:c>
      <x:c r="M37" s="53" t="n">
        <x:f>E37*D37</x:f>
        <x:v>59750</x:v>
      </x:c>
      <x:c r="N37" s="53" t="n">
        <x:f>K37-M37</x:f>
        <x:v>40000</x:v>
      </x:c>
      <x:c r="O37" s="53" t="n">
        <x:f>L37-M37</x:f>
        <x:v>0</x:v>
      </x:c>
      <x:c r="P37" s="38"/>
      <x:c r="Q37" s="38"/>
      <x:c r="R37" s="38"/>
      <x:c r="S37" s="38"/>
      <x:c r="T37" s="38"/>
      <x:c r="U37" s="38"/>
    </x:row>
    <x:row r="38" ht="23" customHeight="1">
      <x:c r="A38" s="38"/>
      <x:c r="B38" s="51" t="str">
        <x:v>2021-11-30</x:v>
      </x:c>
      <x:c r="C38" s="51" t="str">
        <x:v>Technology</x:v>
      </x:c>
      <x:c r="D38" s="52" t="n">
        <x:v>98.28404509907845</x:v>
      </x:c>
      <x:c r="E38" s="52" t="n">
        <x:v>3830.9949497761363</x:v>
      </x:c>
      <x:c r="F38" s="52" t="n">
        <x:v>98.28404509907845</x:v>
      </x:c>
      <x:c r="G38" s="52" t="n">
        <x:v>3325</x:v>
      </x:c>
      <x:c r="H38" s="43" t="n">
        <x:f>G38+SUMIFS('Transactions'!$H$24:$H$29,'Transactions'!$C$24:$C$29,"&lt;="&amp;B38,'Transactions'!$E$24:$E$29,C38)</x:f>
        <x:v>3830.9949497761363</x:v>
      </x:c>
      <x:c r="I38" s="43" t="n">
        <x:f>SUMIFS('Transactions'!$H$36:$H$38,'Transactions'!$C$36:$C$38,"&lt;="&amp;B38,'Transactions'!$E$36:$E$38,C38)</x:f>
        <x:v>0</x:v>
      </x:c>
      <x:c r="J38" s="53" t="n">
        <x:f>H38+I38</x:f>
        <x:v>3830.9949497761363</x:v>
      </x:c>
      <x:c r="K38" s="53" t="n">
        <x:f>H38*F38</x:f>
        <x:v>376525.68041813956</x:v>
      </x:c>
      <x:c r="L38" s="53" t="n">
        <x:f>J38*D38</x:f>
        <x:v>376525.68041813956</x:v>
      </x:c>
      <x:c r="M38" s="53" t="n">
        <x:f>E38*D38</x:f>
        <x:v>376525.68041813956</x:v>
      </x:c>
      <x:c r="N38" s="53" t="n">
        <x:f>K38-M38</x:f>
        <x:v>0</x:v>
      </x:c>
      <x:c r="O38" s="53" t="n">
        <x:f>L38-M38</x:f>
        <x:v>0</x:v>
      </x:c>
      <x:c r="P38" s="38"/>
      <x:c r="Q38" s="38"/>
      <x:c r="R38" s="38"/>
      <x:c r="S38" s="38"/>
      <x:c r="T38" s="38"/>
      <x:c r="U38" s="38"/>
    </x:row>
    <x:row r="39" ht="23" customHeight="1">
      <x:c r="A39" s="38"/>
      <x:c r="B39" s="51" t="str">
        <x:v>2021-11-30</x:v>
      </x:c>
      <x:c r="C39" s="51" t="str">
        <x:v>Health Care</x:v>
      </x:c>
      <x:c r="D39" s="52" t="n">
        <x:v>101.266041182107</x:v>
      </x:c>
      <x:c r="E39" s="52" t="n">
        <x:v>1425</x:v>
      </x:c>
      <x:c r="F39" s="52" t="n">
        <x:v>101.266041182107</x:v>
      </x:c>
      <x:c r="G39" s="52" t="n">
        <x:v>1425</x:v>
      </x:c>
      <x:c r="H39" s="43" t="n">
        <x:f>G39+SUMIFS('Transactions'!$H$24:$H$29,'Transactions'!$C$24:$C$29,"&lt;="&amp;B39,'Transactions'!$E$24:$E$29,C39)</x:f>
        <x:v>1425</x:v>
      </x:c>
      <x:c r="I39" s="43" t="n">
        <x:f>SUMIFS('Transactions'!$H$36:$H$38,'Transactions'!$C$36:$C$38,"&lt;="&amp;B39,'Transactions'!$E$36:$E$38,C39)</x:f>
        <x:v>0</x:v>
      </x:c>
      <x:c r="J39" s="53" t="n">
        <x:f>H39+I39</x:f>
        <x:v>1425</x:v>
      </x:c>
      <x:c r="K39" s="53" t="n">
        <x:f>H39*F39</x:f>
        <x:v>144304.10868450248</x:v>
      </x:c>
      <x:c r="L39" s="53" t="n">
        <x:f>J39*D39</x:f>
        <x:v>144304.10868450248</x:v>
      </x:c>
      <x:c r="M39" s="53" t="n">
        <x:f>E39*D39</x:f>
        <x:v>144304.10868450248</x:v>
      </x:c>
      <x:c r="N39" s="53" t="n">
        <x:f>K39-M39</x:f>
        <x:v>0</x:v>
      </x:c>
      <x:c r="O39" s="53" t="n">
        <x:f>L39-M39</x:f>
        <x:v>0</x:v>
      </x:c>
      <x:c r="P39" s="38"/>
      <x:c r="Q39" s="38"/>
      <x:c r="R39" s="38"/>
      <x:c r="S39" s="38"/>
      <x:c r="T39" s="38"/>
      <x:c r="U39" s="38"/>
    </x:row>
    <x:row r="40" ht="23" customHeight="1">
      <x:c r="A40" s="38"/>
      <x:c r="B40" s="51" t="str">
        <x:v>2021-11-30</x:v>
      </x:c>
      <x:c r="C40" s="51" t="str">
        <x:v>Oil &amp; Gas</x:v>
      </x:c>
      <x:c r="D40" s="52" t="n">
        <x:v>104.96925086075053</x:v>
      </x:c>
      <x:c r="E40" s="52" t="n">
        <x:v>1900</x:v>
      </x:c>
      <x:c r="F40" s="52" t="n">
        <x:v>104.96925086075053</x:v>
      </x:c>
      <x:c r="G40" s="52" t="n">
        <x:v>1900</x:v>
      </x:c>
      <x:c r="H40" s="43" t="n">
        <x:f>G40+SUMIFS('Transactions'!$H$24:$H$29,'Transactions'!$C$24:$C$29,"&lt;="&amp;B40,'Transactions'!$E$24:$E$29,C40)</x:f>
        <x:v>1900</x:v>
      </x:c>
      <x:c r="I40" s="43" t="n">
        <x:f>SUMIFS('Transactions'!$H$36:$H$38,'Transactions'!$C$36:$C$38,"&lt;="&amp;B40,'Transactions'!$E$36:$E$38,C40)</x:f>
        <x:v>0</x:v>
      </x:c>
      <x:c r="J40" s="53" t="n">
        <x:f>H40+I40</x:f>
        <x:v>1900</x:v>
      </x:c>
      <x:c r="K40" s="53" t="n">
        <x:f>H40*F40</x:f>
        <x:v>199441.57663542603</x:v>
      </x:c>
      <x:c r="L40" s="53" t="n">
        <x:f>J40*D40</x:f>
        <x:v>199441.57663542603</x:v>
      </x:c>
      <x:c r="M40" s="53" t="n">
        <x:f>E40*D40</x:f>
        <x:v>199441.57663542603</x:v>
      </x:c>
      <x:c r="N40" s="53" t="n">
        <x:f>K40-M40</x:f>
        <x:v>0</x:v>
      </x:c>
      <x:c r="O40" s="53" t="n">
        <x:f>L40-M40</x:f>
        <x:v>0</x:v>
      </x:c>
      <x:c r="P40" s="38"/>
      <x:c r="Q40" s="38"/>
      <x:c r="R40" s="38"/>
      <x:c r="S40" s="38"/>
      <x:c r="T40" s="38"/>
      <x:c r="U40" s="38"/>
    </x:row>
    <x:row r="41" ht="23" customHeight="1">
      <x:c r="A41" s="38"/>
      <x:c r="B41" s="51" t="str">
        <x:v>2021-11-30</x:v>
      </x:c>
      <x:c r="C41" s="51" t="str">
        <x:v>Financials</x:v>
      </x:c>
      <x:c r="D41" s="52" t="n">
        <x:v>102.2058539396442</x:v>
      </x:c>
      <x:c r="E41" s="52" t="n">
        <x:v>1425</x:v>
      </x:c>
      <x:c r="F41" s="52" t="n">
        <x:v>102.2058539396442</x:v>
      </x:c>
      <x:c r="G41" s="52" t="n">
        <x:v>1425</x:v>
      </x:c>
      <x:c r="H41" s="43" t="n">
        <x:f>G41+SUMIFS('Transactions'!$H$24:$H$29,'Transactions'!$C$24:$C$29,"&lt;="&amp;B41,'Transactions'!$E$24:$E$29,C41)</x:f>
        <x:v>1425</x:v>
      </x:c>
      <x:c r="I41" s="43" t="n">
        <x:f>SUMIFS('Transactions'!$H$36:$H$38,'Transactions'!$C$36:$C$38,"&lt;="&amp;B41,'Transactions'!$E$36:$E$38,C41)</x:f>
        <x:v>0</x:v>
      </x:c>
      <x:c r="J41" s="53" t="n">
        <x:f>H41+I41</x:f>
        <x:v>1425</x:v>
      </x:c>
      <x:c r="K41" s="53" t="n">
        <x:f>H41*F41</x:f>
        <x:v>145643.34186399297</x:v>
      </x:c>
      <x:c r="L41" s="53" t="n">
        <x:f>J41*D41</x:f>
        <x:v>145643.34186399297</x:v>
      </x:c>
      <x:c r="M41" s="53" t="n">
        <x:f>E41*D41</x:f>
        <x:v>145643.34186399297</x:v>
      </x:c>
      <x:c r="N41" s="53" t="n">
        <x:f>K41-M41</x:f>
        <x:v>0</x:v>
      </x:c>
      <x:c r="O41" s="53" t="n">
        <x:f>L41-M41</x:f>
        <x:v>0</x:v>
      </x:c>
      <x:c r="P41" s="38"/>
      <x:c r="Q41" s="38"/>
      <x:c r="R41" s="38"/>
      <x:c r="S41" s="38"/>
      <x:c r="T41" s="38"/>
      <x:c r="U41" s="38"/>
    </x:row>
    <x:row r="42" ht="23" customHeight="1">
      <x:c r="A42" s="38"/>
      <x:c r="B42" s="51" t="str">
        <x:v>2021-11-30</x:v>
      </x:c>
      <x:c r="C42" s="51" t="str">
        <x:v>Renewables</x:v>
      </x:c>
      <x:c r="D42" s="52" t="n">
        <x:v>101.27999529671611</x:v>
      </x:c>
      <x:c r="E42" s="52" t="n">
        <x:v>1346.1798114036428</x:v>
      </x:c>
      <x:c r="F42" s="52" t="n">
        <x:v>101.27999529671611</x:v>
      </x:c>
      <x:c r="G42" s="52" t="n">
        <x:v>950</x:v>
      </x:c>
      <x:c r="H42" s="43" t="n">
        <x:f>G42+SUMIFS('Transactions'!$H$24:$H$29,'Transactions'!$C$24:$C$29,"&lt;="&amp;B42,'Transactions'!$E$24:$E$29,C42)</x:f>
        <x:v>950</x:v>
      </x:c>
      <x:c r="I42" s="43" t="n">
        <x:f>SUMIFS('Transactions'!$H$36:$H$38,'Transactions'!$C$36:$C$38,"&lt;="&amp;B42,'Transactions'!$E$36:$E$38,C42)</x:f>
        <x:v>396.1798114036427</x:v>
      </x:c>
      <x:c r="J42" s="53" t="n">
        <x:f>H42+I42</x:f>
        <x:v>1346.1798114036428</x:v>
      </x:c>
      <x:c r="K42" s="53" t="n">
        <x:f>H42*F42</x:f>
        <x:v>96215.9955318803</x:v>
      </x:c>
      <x:c r="L42" s="53" t="n">
        <x:f>J42*D42</x:f>
        <x:v>136341.08496749512</x:v>
      </x:c>
      <x:c r="M42" s="53" t="n">
        <x:f>E42*D42</x:f>
        <x:v>136341.08496749512</x:v>
      </x:c>
      <x:c r="N42" s="53" t="n">
        <x:f>K42-M42</x:f>
        <x:v>-40125.08943561482</x:v>
      </x:c>
      <x:c r="O42" s="53" t="n">
        <x:f>L42-M42</x:f>
        <x:v>0</x:v>
      </x:c>
      <x:c r="P42" s="38"/>
      <x:c r="Q42" s="38"/>
      <x:c r="R42" s="38"/>
      <x:c r="S42" s="38"/>
      <x:c r="T42" s="38"/>
      <x:c r="U42" s="38"/>
    </x:row>
    <x:row r="43" ht="23" customHeight="1">
      <x:c r="A43" s="38"/>
      <x:c r="B43" s="51" t="str">
        <x:v>2021-11-30</x:v>
      </x:c>
      <x:c r="C43" s="51" t="str">
        <x:v>Consumer Discretionary</x:v>
      </x:c>
      <x:c r="D43" s="52" t="n">
        <x:v>101.05286978538223</x:v>
      </x:c>
      <x:c r="E43" s="52" t="n">
        <x:v>475</x:v>
      </x:c>
      <x:c r="F43" s="52" t="n">
        <x:v>101.05286978538223</x:v>
      </x:c>
      <x:c r="G43" s="52" t="n">
        <x:v>475</x:v>
      </x:c>
      <x:c r="H43" s="43" t="n">
        <x:f>G43+SUMIFS('Transactions'!$H$24:$H$29,'Transactions'!$C$24:$C$29,"&lt;="&amp;B43,'Transactions'!$E$24:$E$29,C43)</x:f>
        <x:v>475</x:v>
      </x:c>
      <x:c r="I43" s="43" t="n">
        <x:f>SUMIFS('Transactions'!$H$36:$H$38,'Transactions'!$C$36:$C$38,"&lt;="&amp;B43,'Transactions'!$E$36:$E$38,C43)</x:f>
        <x:v>0</x:v>
      </x:c>
      <x:c r="J43" s="53" t="n">
        <x:f>H43+I43</x:f>
        <x:v>475</x:v>
      </x:c>
      <x:c r="K43" s="53" t="n">
        <x:f>H43*F43</x:f>
        <x:v>48000.11314805656</x:v>
      </x:c>
      <x:c r="L43" s="53" t="n">
        <x:f>J43*D43</x:f>
        <x:v>48000.11314805656</x:v>
      </x:c>
      <x:c r="M43" s="53" t="n">
        <x:f>E43*D43</x:f>
        <x:v>48000.11314805656</x:v>
      </x:c>
      <x:c r="N43" s="53" t="n">
        <x:f>K43-M43</x:f>
        <x:v>0</x:v>
      </x:c>
      <x:c r="O43" s="53" t="n">
        <x:f>L43-M43</x:f>
        <x:v>0</x:v>
      </x:c>
      <x:c r="P43" s="38"/>
      <x:c r="Q43" s="38"/>
      <x:c r="R43" s="38"/>
      <x:c r="S43" s="38"/>
      <x:c r="T43" s="38"/>
      <x:c r="U43" s="38"/>
    </x:row>
    <x:row r="44" ht="23" customHeight="1">
      <x:c r="A44" s="38"/>
      <x:c r="B44" s="51" t="str">
        <x:v>2021-11-30</x:v>
      </x:c>
      <x:c r="C44" s="51" t="str">
        <x:v>Cash</x:v>
      </x:c>
      <x:c r="D44" s="52" t="n">
        <x:v>1</x:v>
      </x:c>
      <x:c r="E44" s="52" t="n">
        <x:v>59500</x:v>
      </x:c>
      <x:c r="F44" s="52" t="n">
        <x:v>1</x:v>
      </x:c>
      <x:c r="G44" s="52" t="n">
        <x:v>50000</x:v>
      </x:c>
      <x:c r="H44" s="43" t="n">
        <x:f>G44+SUMIFS('Transactions'!$I$24:$I$29,'Transactions'!$C$24:$C$29,"&lt;="&amp;B44)</x:f>
        <x:v>99500</x:v>
      </x:c>
      <x:c r="I44" s="43" t="n">
        <x:f>SUMIFS('Transactions'!$I$36:$I$38,'Transactions'!$C$36:$C$38,"&lt;="&amp;B44)</x:f>
        <x:v>-40000</x:v>
      </x:c>
      <x:c r="J44" s="53" t="n">
        <x:f>H44+I44</x:f>
        <x:v>59500</x:v>
      </x:c>
      <x:c r="K44" s="53" t="n">
        <x:f>H44*F44</x:f>
        <x:v>99500</x:v>
      </x:c>
      <x:c r="L44" s="53" t="n">
        <x:f>J44*D44</x:f>
        <x:v>59500</x:v>
      </x:c>
      <x:c r="M44" s="53" t="n">
        <x:f>E44*D44</x:f>
        <x:v>59500</x:v>
      </x:c>
      <x:c r="N44" s="53" t="n">
        <x:f>K44-M44</x:f>
        <x:v>40000</x:v>
      </x:c>
      <x:c r="O44" s="53" t="n">
        <x:f>L44-M44</x:f>
        <x:v>0</x:v>
      </x:c>
      <x:c r="P44" s="38"/>
      <x:c r="Q44" s="38"/>
      <x:c r="R44" s="38"/>
      <x:c r="S44" s="38"/>
      <x:c r="T44" s="38"/>
      <x:c r="U44" s="38"/>
    </x:row>
    <x:row r="45" ht="23" customHeight="1">
      <x:c r="A45" s="38"/>
      <x:c r="B45" s="51" t="str">
        <x:v>2021-12-15</x:v>
      </x:c>
      <x:c r="C45" s="51" t="str">
        <x:v>Technology</x:v>
      </x:c>
      <x:c r="D45" s="52" t="n">
        <x:v>97.39122310425432</x:v>
      </x:c>
      <x:c r="E45" s="52" t="n">
        <x:v>3830.9949497761363</x:v>
      </x:c>
      <x:c r="F45" s="52" t="n">
        <x:v>97.39122310425432</x:v>
      </x:c>
      <x:c r="G45" s="52" t="n">
        <x:v>3325</x:v>
      </x:c>
      <x:c r="H45" s="43" t="n">
        <x:f>G45+SUMIFS('Transactions'!$H$24:$H$29,'Transactions'!$C$24:$C$29,"&lt;="&amp;B45,'Transactions'!$E$24:$E$29,C45)</x:f>
        <x:v>3830.9949497761363</x:v>
      </x:c>
      <x:c r="I45" s="43" t="n">
        <x:f>SUMIFS('Transactions'!$H$36:$H$38,'Transactions'!$C$36:$C$38,"&lt;="&amp;B45,'Transactions'!$E$36:$E$38,C45)</x:f>
        <x:v>0</x:v>
      </x:c>
      <x:c r="J45" s="53" t="n">
        <x:f>H45+I45</x:f>
        <x:v>3830.9949497761363</x:v>
      </x:c>
      <x:c r="K45" s="53" t="n">
        <x:f>H45*F45</x:f>
        <x:v>373105.28386491927</x:v>
      </x:c>
      <x:c r="L45" s="53" t="n">
        <x:f>J45*D45</x:f>
        <x:v>373105.28386491927</x:v>
      </x:c>
      <x:c r="M45" s="53" t="n">
        <x:f>E45*D45</x:f>
        <x:v>373105.28386491927</x:v>
      </x:c>
      <x:c r="N45" s="53" t="n">
        <x:f>K45-M45</x:f>
        <x:v>0</x:v>
      </x:c>
      <x:c r="O45" s="53" t="n">
        <x:f>L45-M45</x:f>
        <x:v>0</x:v>
      </x:c>
      <x:c r="P45" s="38"/>
      <x:c r="Q45" s="38"/>
      <x:c r="R45" s="38"/>
      <x:c r="S45" s="38"/>
      <x:c r="T45" s="38"/>
      <x:c r="U45" s="38"/>
    </x:row>
    <x:row r="46" ht="23" customHeight="1">
      <x:c r="A46" s="38"/>
      <x:c r="B46" s="51" t="str">
        <x:v>2021-12-15</x:v>
      </x:c>
      <x:c r="C46" s="51" t="str">
        <x:v>Health Care</x:v>
      </x:c>
      <x:c r="D46" s="52" t="n">
        <x:v>101.49470082954963</x:v>
      </x:c>
      <x:c r="E46" s="52" t="n">
        <x:v>1425</x:v>
      </x:c>
      <x:c r="F46" s="52" t="n">
        <x:v>101.49470082954963</x:v>
      </x:c>
      <x:c r="G46" s="52" t="n">
        <x:v>1425</x:v>
      </x:c>
      <x:c r="H46" s="43" t="n">
        <x:f>G46+SUMIFS('Transactions'!$H$24:$H$29,'Transactions'!$C$24:$C$29,"&lt;="&amp;B46,'Transactions'!$E$24:$E$29,C46)</x:f>
        <x:v>1425</x:v>
      </x:c>
      <x:c r="I46" s="43" t="n">
        <x:f>SUMIFS('Transactions'!$H$36:$H$38,'Transactions'!$C$36:$C$38,"&lt;="&amp;B46,'Transactions'!$E$36:$E$38,C46)</x:f>
        <x:v>0</x:v>
      </x:c>
      <x:c r="J46" s="53" t="n">
        <x:f>H46+I46</x:f>
        <x:v>1425</x:v>
      </x:c>
      <x:c r="K46" s="53" t="n">
        <x:f>H46*F46</x:f>
        <x:v>144629.94868210822</x:v>
      </x:c>
      <x:c r="L46" s="53" t="n">
        <x:f>J46*D46</x:f>
        <x:v>144629.94868210822</x:v>
      </x:c>
      <x:c r="M46" s="53" t="n">
        <x:f>E46*D46</x:f>
        <x:v>144629.94868210822</x:v>
      </x:c>
      <x:c r="N46" s="53" t="n">
        <x:f>K46-M46</x:f>
        <x:v>0</x:v>
      </x:c>
      <x:c r="O46" s="53" t="n">
        <x:f>L46-M46</x:f>
        <x:v>0</x:v>
      </x:c>
      <x:c r="P46" s="38"/>
      <x:c r="Q46" s="38"/>
      <x:c r="R46" s="38"/>
      <x:c r="S46" s="38"/>
      <x:c r="T46" s="38"/>
      <x:c r="U46" s="38"/>
    </x:row>
    <x:row r="47" ht="23" customHeight="1">
      <x:c r="A47" s="38"/>
      <x:c r="B47" s="51" t="str">
        <x:v>2021-12-15</x:v>
      </x:c>
      <x:c r="C47" s="51" t="str">
        <x:v>Oil &amp; Gas</x:v>
      </x:c>
      <x:c r="D47" s="52" t="n">
        <x:v>106.05456898303055</x:v>
      </x:c>
      <x:c r="E47" s="52" t="n">
        <x:v>1522.8356742800938</x:v>
      </x:c>
      <x:c r="F47" s="52" t="n">
        <x:v>106.05456898303055</x:v>
      </x:c>
      <x:c r="G47" s="52" t="n">
        <x:v>1900</x:v>
      </x:c>
      <x:c r="H47" s="43" t="n">
        <x:f>G47+SUMIFS('Transactions'!$H$24:$H$29,'Transactions'!$C$24:$C$29,"&lt;="&amp;B47,'Transactions'!$E$24:$E$29,C47)</x:f>
        <x:v>1522.8356742800938</x:v>
      </x:c>
      <x:c r="I47" s="43" t="n">
        <x:f>SUMIFS('Transactions'!$H$36:$H$38,'Transactions'!$C$36:$C$38,"&lt;="&amp;B47,'Transactions'!$E$36:$E$38,C47)</x:f>
        <x:v>0</x:v>
      </x:c>
      <x:c r="J47" s="53" t="n">
        <x:f>H47+I47</x:f>
        <x:v>1522.8356742800938</x:v>
      </x:c>
      <x:c r="K47" s="53" t="n">
        <x:f>H47*F47</x:f>
        <x:v>161503.68106775807</x:v>
      </x:c>
      <x:c r="L47" s="53" t="n">
        <x:f>J47*D47</x:f>
        <x:v>161503.68106775807</x:v>
      </x:c>
      <x:c r="M47" s="53" t="n">
        <x:f>E47*D47</x:f>
        <x:v>161503.68106775807</x:v>
      </x:c>
      <x:c r="N47" s="53" t="n">
        <x:f>K47-M47</x:f>
        <x:v>0</x:v>
      </x:c>
      <x:c r="O47" s="53" t="n">
        <x:f>L47-M47</x:f>
        <x:v>0</x:v>
      </x:c>
      <x:c r="P47" s="38"/>
      <x:c r="Q47" s="38"/>
      <x:c r="R47" s="38"/>
      <x:c r="S47" s="38"/>
      <x:c r="T47" s="38"/>
      <x:c r="U47" s="38"/>
    </x:row>
    <x:row r="48" ht="23" customHeight="1">
      <x:c r="A48" s="38"/>
      <x:c r="B48" s="51" t="str">
        <x:v>2021-12-15</x:v>
      </x:c>
      <x:c r="C48" s="51" t="str">
        <x:v>Financials</x:v>
      </x:c>
      <x:c r="D48" s="52" t="n">
        <x:v>102.63323455077648</x:v>
      </x:c>
      <x:c r="E48" s="52" t="n">
        <x:v>1425</x:v>
      </x:c>
      <x:c r="F48" s="52" t="n">
        <x:v>102.63323455077648</x:v>
      </x:c>
      <x:c r="G48" s="52" t="n">
        <x:v>1425</x:v>
      </x:c>
      <x:c r="H48" s="43" t="n">
        <x:f>G48+SUMIFS('Transactions'!$H$24:$H$29,'Transactions'!$C$24:$C$29,"&lt;="&amp;B48,'Transactions'!$E$24:$E$29,C48)</x:f>
        <x:v>1425</x:v>
      </x:c>
      <x:c r="I48" s="43" t="n">
        <x:f>SUMIFS('Transactions'!$H$36:$H$38,'Transactions'!$C$36:$C$38,"&lt;="&amp;B48,'Transactions'!$E$36:$E$38,C48)</x:f>
        <x:v>0</x:v>
      </x:c>
      <x:c r="J48" s="53" t="n">
        <x:f>H48+I48</x:f>
        <x:v>1425</x:v>
      </x:c>
      <x:c r="K48" s="53" t="n">
        <x:f>H48*F48</x:f>
        <x:v>146252.35923485647</x:v>
      </x:c>
      <x:c r="L48" s="53" t="n">
        <x:f>J48*D48</x:f>
        <x:v>146252.35923485647</x:v>
      </x:c>
      <x:c r="M48" s="53" t="n">
        <x:f>E48*D48</x:f>
        <x:v>146252.35923485647</x:v>
      </x:c>
      <x:c r="N48" s="53" t="n">
        <x:f>K48-M48</x:f>
        <x:v>0</x:v>
      </x:c>
      <x:c r="O48" s="53" t="n">
        <x:f>L48-M48</x:f>
        <x:v>0</x:v>
      </x:c>
      <x:c r="P48" s="38"/>
      <x:c r="Q48" s="38"/>
      <x:c r="R48" s="38"/>
      <x:c r="S48" s="38"/>
      <x:c r="T48" s="38"/>
      <x:c r="U48" s="38"/>
    </x:row>
    <x:row r="49" ht="23" customHeight="1">
      <x:c r="A49" s="38"/>
      <x:c r="B49" s="51" t="str">
        <x:v>2021-12-15</x:v>
      </x:c>
      <x:c r="C49" s="51" t="str">
        <x:v>Renewables</x:v>
      </x:c>
      <x:c r="D49" s="52" t="n">
        <x:v>101.57440781285715</x:v>
      </x:c>
      <x:c r="E49" s="52" t="n">
        <x:v>1346.1798114036428</x:v>
      </x:c>
      <x:c r="F49" s="52" t="n">
        <x:v>101.57440781285715</x:v>
      </x:c>
      <x:c r="G49" s="52" t="n">
        <x:v>950</x:v>
      </x:c>
      <x:c r="H49" s="43" t="n">
        <x:f>G49+SUMIFS('Transactions'!$H$24:$H$29,'Transactions'!$C$24:$C$29,"&lt;="&amp;B49,'Transactions'!$E$24:$E$29,C49)</x:f>
        <x:v>950</x:v>
      </x:c>
      <x:c r="I49" s="43" t="n">
        <x:f>SUMIFS('Transactions'!$H$36:$H$38,'Transactions'!$C$36:$C$38,"&lt;="&amp;B49,'Transactions'!$E$36:$E$38,C49)</x:f>
        <x:v>396.1798114036427</x:v>
      </x:c>
      <x:c r="J49" s="53" t="n">
        <x:f>H49+I49</x:f>
        <x:v>1346.1798114036428</x:v>
      </x:c>
      <x:c r="K49" s="53" t="n">
        <x:f>H49*F49</x:f>
        <x:v>96495.6874222143</x:v>
      </x:c>
      <x:c r="L49" s="53" t="n">
        <x:f>J49*D49</x:f>
        <x:v>136737.41715294874</x:v>
      </x:c>
      <x:c r="M49" s="53" t="n">
        <x:f>E49*D49</x:f>
        <x:v>136737.41715294874</x:v>
      </x:c>
      <x:c r="N49" s="53" t="n">
        <x:f>K49-M49</x:f>
        <x:v>-40241.72973073444</x:v>
      </x:c>
      <x:c r="O49" s="53" t="n">
        <x:f>L49-M49</x:f>
        <x:v>0</x:v>
      </x:c>
      <x:c r="P49" s="38"/>
      <x:c r="Q49" s="38"/>
      <x:c r="R49" s="38"/>
      <x:c r="S49" s="38"/>
      <x:c r="T49" s="38"/>
      <x:c r="U49" s="38"/>
    </x:row>
    <x:row r="50" ht="23" customHeight="1">
      <x:c r="A50" s="38"/>
      <x:c r="B50" s="51" t="str">
        <x:v>2021-12-15</x:v>
      </x:c>
      <x:c r="C50" s="51" t="str">
        <x:v>Consumer Discretionary</x:v>
      </x:c>
      <x:c r="D50" s="52" t="n">
        <x:v>101.30939646396324</x:v>
      </x:c>
      <x:c r="E50" s="52" t="n">
        <x:v>475</x:v>
      </x:c>
      <x:c r="F50" s="52" t="n">
        <x:v>101.30939646396324</x:v>
      </x:c>
      <x:c r="G50" s="52" t="n">
        <x:v>475</x:v>
      </x:c>
      <x:c r="H50" s="43" t="n">
        <x:f>G50+SUMIFS('Transactions'!$H$24:$H$29,'Transactions'!$C$24:$C$29,"&lt;="&amp;B50,'Transactions'!$E$24:$E$29,C50)</x:f>
        <x:v>475</x:v>
      </x:c>
      <x:c r="I50" s="43" t="n">
        <x:f>SUMIFS('Transactions'!$H$36:$H$38,'Transactions'!$C$36:$C$38,"&lt;="&amp;B50,'Transactions'!$E$36:$E$38,C50)</x:f>
        <x:v>0</x:v>
      </x:c>
      <x:c r="J50" s="53" t="n">
        <x:f>H50+I50</x:f>
        <x:v>475</x:v>
      </x:c>
      <x:c r="K50" s="53" t="n">
        <x:f>H50*F50</x:f>
        <x:v>48121.963320382536</x:v>
      </x:c>
      <x:c r="L50" s="53" t="n">
        <x:f>J50*D50</x:f>
        <x:v>48121.963320382536</x:v>
      </x:c>
      <x:c r="M50" s="53" t="n">
        <x:f>E50*D50</x:f>
        <x:v>48121.963320382536</x:v>
      </x:c>
      <x:c r="N50" s="53" t="n">
        <x:f>K50-M50</x:f>
        <x:v>0</x:v>
      </x:c>
      <x:c r="O50" s="53" t="n">
        <x:f>L50-M50</x:f>
        <x:v>0</x:v>
      </x:c>
      <x:c r="P50" s="38"/>
      <x:c r="Q50" s="38"/>
      <x:c r="R50" s="38"/>
      <x:c r="S50" s="38"/>
      <x:c r="T50" s="38"/>
      <x:c r="U50" s="38"/>
    </x:row>
    <x:row r="51" ht="23" customHeight="1">
      <x:c r="A51" s="38"/>
      <x:c r="B51" s="51" t="str">
        <x:v>2021-12-15</x:v>
      </x:c>
      <x:c r="C51" s="51" t="str">
        <x:v>Cash</x:v>
      </x:c>
      <x:c r="D51" s="52" t="n">
        <x:v>1</x:v>
      </x:c>
      <x:c r="E51" s="52" t="n">
        <x:v>49500</x:v>
      </x:c>
      <x:c r="F51" s="52" t="n">
        <x:v>1</x:v>
      </x:c>
      <x:c r="G51" s="52" t="n">
        <x:v>50000</x:v>
      </x:c>
      <x:c r="H51" s="43" t="n">
        <x:f>G51+SUMIFS('Transactions'!$I$24:$I$29,'Transactions'!$C$24:$C$29,"&lt;="&amp;B51)</x:f>
        <x:v>89500</x:v>
      </x:c>
      <x:c r="I51" s="43" t="n">
        <x:f>SUMIFS('Transactions'!$I$36:$I$38,'Transactions'!$C$36:$C$38,"&lt;="&amp;B51)</x:f>
        <x:v>-40000</x:v>
      </x:c>
      <x:c r="J51" s="53" t="n">
        <x:f>H51+I51</x:f>
        <x:v>49500</x:v>
      </x:c>
      <x:c r="K51" s="53" t="n">
        <x:f>H51*F51</x:f>
        <x:v>89500</x:v>
      </x:c>
      <x:c r="L51" s="53" t="n">
        <x:f>J51*D51</x:f>
        <x:v>49500</x:v>
      </x:c>
      <x:c r="M51" s="53" t="n">
        <x:f>E51*D51</x:f>
        <x:v>49500</x:v>
      </x:c>
      <x:c r="N51" s="53" t="n">
        <x:f>K51-M51</x:f>
        <x:v>40000</x:v>
      </x:c>
      <x:c r="O51" s="53" t="n">
        <x:f>L51-M51</x:f>
        <x:v>0</x:v>
      </x:c>
      <x:c r="P51" s="38"/>
      <x:c r="Q51" s="38"/>
      <x:c r="R51" s="38"/>
      <x:c r="S51" s="38"/>
      <x:c r="T51" s="38"/>
      <x:c r="U51" s="38"/>
    </x:row>
    <x:row r="52" ht="23" customHeight="1">
      <x:c r="A52" s="38"/>
      <x:c r="B52" s="51" t="str">
        <x:v>2021-12-31</x:v>
      </x:c>
      <x:c r="C52" s="51" t="str">
        <x:v>Technology</x:v>
      </x:c>
      <x:c r="D52" s="52" t="n">
        <x:v>96.50651159281168</x:v>
      </x:c>
      <x:c r="E52" s="52" t="n">
        <x:v>3830.9949497761363</x:v>
      </x:c>
      <x:c r="F52" s="52" t="n">
        <x:v>98.28404509907845</x:v>
      </x:c>
      <x:c r="G52" s="52" t="n">
        <x:v>3325</x:v>
      </x:c>
      <x:c r="H52" s="43" t="n">
        <x:f>G52+SUMIFS('Transactions'!$H$24:$H$29,'Transactions'!$C$24:$C$29,"&lt;="&amp;B52,'Transactions'!$E$24:$E$29,C52)</x:f>
        <x:v>3830.9949497761363</x:v>
      </x:c>
      <x:c r="I52" s="43" t="n">
        <x:f>SUMIFS('Transactions'!$H$36:$H$38,'Transactions'!$C$36:$C$38,"&lt;="&amp;B52,'Transactions'!$E$36:$E$38,C52)</x:f>
        <x:v>0</x:v>
      </x:c>
      <x:c r="J52" s="53" t="n">
        <x:f>H52+I52</x:f>
        <x:v>3830.9949497761363</x:v>
      </x:c>
      <x:c r="K52" s="53" t="n">
        <x:f>H52*F52</x:f>
        <x:v>376525.68041813956</x:v>
      </x:c>
      <x:c r="L52" s="53" t="n">
        <x:f>J52*D52</x:f>
        <x:v>369715.9585325737</x:v>
      </x:c>
      <x:c r="M52" s="53" t="n">
        <x:f>E52*D52</x:f>
        <x:v>369715.9585325737</x:v>
      </x:c>
      <x:c r="N52" s="53" t="n">
        <x:f>K52-M52</x:f>
        <x:v>6809.721885565843</x:v>
      </x:c>
      <x:c r="O52" s="53" t="n">
        <x:f>L52-M52</x:f>
        <x:v>0</x:v>
      </x:c>
      <x:c r="P52" s="38"/>
      <x:c r="Q52" s="38"/>
      <x:c r="R52" s="38"/>
      <x:c r="S52" s="38"/>
      <x:c r="T52" s="38"/>
      <x:c r="U52" s="38"/>
    </x:row>
    <x:row r="53" ht="23" customHeight="1">
      <x:c r="A53" s="38"/>
      <x:c r="B53" s="51" t="str">
        <x:v>2021-12-31</x:v>
      </x:c>
      <x:c r="C53" s="51" t="str">
        <x:v>Health Care</x:v>
      </x:c>
      <x:c r="D53" s="52" t="n">
        <x:v>101.72387679256813</x:v>
      </x:c>
      <x:c r="E53" s="52" t="n">
        <x:v>1425</x:v>
      </x:c>
      <x:c r="F53" s="52" t="n">
        <x:v>101.72387679256813</x:v>
      </x:c>
      <x:c r="G53" s="52" t="n">
        <x:v>1425</x:v>
      </x:c>
      <x:c r="H53" s="43" t="n">
        <x:f>G53+SUMIFS('Transactions'!$H$24:$H$29,'Transactions'!$C$24:$C$29,"&lt;="&amp;B53,'Transactions'!$E$24:$E$29,C53)</x:f>
        <x:v>1425</x:v>
      </x:c>
      <x:c r="I53" s="43" t="n">
        <x:f>SUMIFS('Transactions'!$H$36:$H$38,'Transactions'!$C$36:$C$38,"&lt;="&amp;B53,'Transactions'!$E$36:$E$38,C53)</x:f>
        <x:v>0</x:v>
      </x:c>
      <x:c r="J53" s="53" t="n">
        <x:f>H53+I53</x:f>
        <x:v>1425</x:v>
      </x:c>
      <x:c r="K53" s="53" t="n">
        <x:f>H53*F53</x:f>
        <x:v>144956.5244294096</x:v>
      </x:c>
      <x:c r="L53" s="53" t="n">
        <x:f>J53*D53</x:f>
        <x:v>144956.5244294096</x:v>
      </x:c>
      <x:c r="M53" s="53" t="n">
        <x:f>E53*D53</x:f>
        <x:v>144956.5244294096</x:v>
      </x:c>
      <x:c r="N53" s="53" t="n">
        <x:f>K53-M53</x:f>
        <x:v>0</x:v>
      </x:c>
      <x:c r="O53" s="53" t="n">
        <x:f>L53-M53</x:f>
        <x:v>0</x:v>
      </x:c>
      <x:c r="P53" s="38"/>
      <x:c r="Q53" s="38"/>
      <x:c r="R53" s="38"/>
      <x:c r="S53" s="38"/>
      <x:c r="T53" s="38"/>
      <x:c r="U53" s="38"/>
    </x:row>
    <x:row r="54" ht="23" customHeight="1">
      <x:c r="A54" s="38"/>
      <x:c r="B54" s="51" t="str">
        <x:v>2021-12-31</x:v>
      </x:c>
      <x:c r="C54" s="51" t="str">
        <x:v>Oil &amp; Gas</x:v>
      </x:c>
      <x:c r="D54" s="52" t="n">
        <x:v>107.15110863368089</x:v>
      </x:c>
      <x:c r="E54" s="52" t="n">
        <x:v>1522.8356742800938</x:v>
      </x:c>
      <x:c r="F54" s="52" t="n">
        <x:v>107.15110863368089</x:v>
      </x:c>
      <x:c r="G54" s="52" t="n">
        <x:v>1900</x:v>
      </x:c>
      <x:c r="H54" s="43" t="n">
        <x:f>G54+SUMIFS('Transactions'!$H$24:$H$29,'Transactions'!$C$24:$C$29,"&lt;="&amp;B54,'Transactions'!$E$24:$E$29,C54)</x:f>
        <x:v>1522.8356742800938</x:v>
      </x:c>
      <x:c r="I54" s="43" t="n">
        <x:f>SUMIFS('Transactions'!$H$36:$H$38,'Transactions'!$C$36:$C$38,"&lt;="&amp;B54,'Transactions'!$E$36:$E$38,C54)</x:f>
        <x:v>0</x:v>
      </x:c>
      <x:c r="J54" s="53" t="n">
        <x:f>H54+I54</x:f>
        <x:v>1522.8356742800938</x:v>
      </x:c>
      <x:c r="K54" s="53" t="n">
        <x:f>H54*F54</x:f>
        <x:v>163173.53076603104</x:v>
      </x:c>
      <x:c r="L54" s="53" t="n">
        <x:f>J54*D54</x:f>
        <x:v>163173.53076603104</x:v>
      </x:c>
      <x:c r="M54" s="53" t="n">
        <x:f>E54*D54</x:f>
        <x:v>163173.53076603104</x:v>
      </x:c>
      <x:c r="N54" s="53" t="n">
        <x:f>K54-M54</x:f>
        <x:v>0</x:v>
      </x:c>
      <x:c r="O54" s="53" t="n">
        <x:f>L54-M54</x:f>
        <x:v>0</x:v>
      </x:c>
      <x:c r="P54" s="38"/>
      <x:c r="Q54" s="38"/>
      <x:c r="R54" s="38"/>
      <x:c r="S54" s="38"/>
      <x:c r="T54" s="38"/>
      <x:c r="U54" s="38"/>
    </x:row>
    <x:row r="55" ht="23" customHeight="1">
      <x:c r="A55" s="38"/>
      <x:c r="B55" s="51" t="str">
        <x:v>2021-12-31</x:v>
      </x:c>
      <x:c r="C55" s="51" t="str">
        <x:v>Financials</x:v>
      </x:c>
      <x:c r="D55" s="52" t="n">
        <x:v>103.06240228250635</x:v>
      </x:c>
      <x:c r="E55" s="52" t="n">
        <x:v>1425</x:v>
      </x:c>
      <x:c r="F55" s="52" t="n">
        <x:v>103.06240228250635</x:v>
      </x:c>
      <x:c r="G55" s="52" t="n">
        <x:v>1425</x:v>
      </x:c>
      <x:c r="H55" s="43" t="n">
        <x:f>G55+SUMIFS('Transactions'!$H$24:$H$29,'Transactions'!$C$24:$C$29,"&lt;="&amp;B55,'Transactions'!$E$24:$E$29,C55)</x:f>
        <x:v>1425</x:v>
      </x:c>
      <x:c r="I55" s="43" t="n">
        <x:f>SUMIFS('Transactions'!$H$36:$H$38,'Transactions'!$C$36:$C$38,"&lt;="&amp;B55,'Transactions'!$E$36:$E$38,C55)</x:f>
        <x:v>0</x:v>
      </x:c>
      <x:c r="J55" s="53" t="n">
        <x:f>H55+I55</x:f>
        <x:v>1425</x:v>
      </x:c>
      <x:c r="K55" s="53" t="n">
        <x:f>H55*F55</x:f>
        <x:v>146863.92325257155</x:v>
      </x:c>
      <x:c r="L55" s="53" t="n">
        <x:f>J55*D55</x:f>
        <x:v>146863.92325257155</x:v>
      </x:c>
      <x:c r="M55" s="53" t="n">
        <x:f>E55*D55</x:f>
        <x:v>146863.92325257155</x:v>
      </x:c>
      <x:c r="N55" s="53" t="n">
        <x:f>K55-M55</x:f>
        <x:v>0</x:v>
      </x:c>
      <x:c r="O55" s="53" t="n">
        <x:f>L55-M55</x:f>
        <x:v>0</x:v>
      </x:c>
      <x:c r="P55" s="38"/>
      <x:c r="Q55" s="38"/>
      <x:c r="R55" s="38"/>
      <x:c r="S55" s="38"/>
      <x:c r="T55" s="38"/>
      <x:c r="U55" s="38"/>
    </x:row>
    <x:row r="56" ht="23" customHeight="1">
      <x:c r="A56" s="38"/>
      <x:c r="B56" s="51" t="str">
        <x:v>2021-12-31</x:v>
      </x:c>
      <x:c r="C56" s="51" t="str">
        <x:v>Renewables</x:v>
      </x:c>
      <x:c r="D56" s="52" t="n">
        <x:v>101.86967616167676</x:v>
      </x:c>
      <x:c r="E56" s="52" t="n">
        <x:v>1346.1798114036428</x:v>
      </x:c>
      <x:c r="F56" s="52" t="n">
        <x:v>101.86967616167676</x:v>
      </x:c>
      <x:c r="G56" s="52" t="n">
        <x:v>950</x:v>
      </x:c>
      <x:c r="H56" s="43" t="n">
        <x:f>G56+SUMIFS('Transactions'!$H$24:$H$29,'Transactions'!$C$24:$C$29,"&lt;="&amp;B56,'Transactions'!$E$24:$E$29,C56)</x:f>
        <x:v>950</x:v>
      </x:c>
      <x:c r="I56" s="43" t="n">
        <x:f>SUMIFS('Transactions'!$H$36:$H$38,'Transactions'!$C$36:$C$38,"&lt;="&amp;B56,'Transactions'!$E$36:$E$38,C56)</x:f>
        <x:v>396.1798114036427</x:v>
      </x:c>
      <x:c r="J56" s="53" t="n">
        <x:f>H56+I56</x:f>
        <x:v>1346.1798114036428</x:v>
      </x:c>
      <x:c r="K56" s="53" t="n">
        <x:f>H56*F56</x:f>
        <x:v>96776.19235359292</x:v>
      </x:c>
      <x:c r="L56" s="53" t="n">
        <x:f>J56*D56</x:f>
        <x:v>137134.9014430762</x:v>
      </x:c>
      <x:c r="M56" s="53" t="n">
        <x:f>E56*D56</x:f>
        <x:v>137134.9014430762</x:v>
      </x:c>
      <x:c r="N56" s="53" t="n">
        <x:f>K56-M56</x:f>
        <x:v>-40358.70908948328</x:v>
      </x:c>
      <x:c r="O56" s="53" t="n">
        <x:f>L56-M56</x:f>
        <x:v>0</x:v>
      </x:c>
      <x:c r="P56" s="38"/>
      <x:c r="Q56" s="38"/>
      <x:c r="R56" s="38"/>
      <x:c r="S56" s="38"/>
      <x:c r="T56" s="38"/>
      <x:c r="U56" s="38"/>
    </x:row>
    <x:row r="57" ht="23" customHeight="1">
      <x:c r="A57" s="38"/>
      <x:c r="B57" s="51" t="str">
        <x:v>2021-12-31</x:v>
      </x:c>
      <x:c r="C57" s="51" t="str">
        <x:v>Consumer Discretionary</x:v>
      </x:c>
      <x:c r="D57" s="52" t="n">
        <x:v>101.56657434559236</x:v>
      </x:c>
      <x:c r="E57" s="52" t="n">
        <x:v>475</x:v>
      </x:c>
      <x:c r="F57" s="52" t="n">
        <x:v>101.56657434559236</x:v>
      </x:c>
      <x:c r="G57" s="52" t="n">
        <x:v>475</x:v>
      </x:c>
      <x:c r="H57" s="43" t="n">
        <x:f>G57+SUMIFS('Transactions'!$H$24:$H$29,'Transactions'!$C$24:$C$29,"&lt;="&amp;B57,'Transactions'!$E$24:$E$29,C57)</x:f>
        <x:v>475</x:v>
      </x:c>
      <x:c r="I57" s="43" t="n">
        <x:f>SUMIFS('Transactions'!$H$36:$H$38,'Transactions'!$C$36:$C$38,"&lt;="&amp;B57,'Transactions'!$E$36:$E$38,C57)</x:f>
        <x:v>0</x:v>
      </x:c>
      <x:c r="J57" s="53" t="n">
        <x:f>H57+I57</x:f>
        <x:v>475</x:v>
      </x:c>
      <x:c r="K57" s="53" t="n">
        <x:f>H57*F57</x:f>
        <x:v>48244.12281415637</x:v>
      </x:c>
      <x:c r="L57" s="53" t="n">
        <x:f>J57*D57</x:f>
        <x:v>48244.12281415637</x:v>
      </x:c>
      <x:c r="M57" s="53" t="n">
        <x:f>E57*D57</x:f>
        <x:v>48244.12281415637</x:v>
      </x:c>
      <x:c r="N57" s="53" t="n">
        <x:f>K57-M57</x:f>
        <x:v>0</x:v>
      </x:c>
      <x:c r="O57" s="53" t="n">
        <x:f>L57-M57</x:f>
        <x:v>0</x:v>
      </x:c>
      <x:c r="P57" s="38"/>
      <x:c r="Q57" s="38"/>
      <x:c r="R57" s="38"/>
      <x:c r="S57" s="38"/>
      <x:c r="T57" s="38"/>
      <x:c r="U57" s="38"/>
    </x:row>
    <x:row r="58" ht="23" customHeight="1">
      <x:c r="A58" s="38"/>
      <x:c r="B58" s="51" t="str">
        <x:v>2021-12-31</x:v>
      </x:c>
      <x:c r="C58" s="51" t="str">
        <x:v>Cash</x:v>
      </x:c>
      <x:c r="D58" s="52" t="n">
        <x:v>1</x:v>
      </x:c>
      <x:c r="E58" s="52" t="n">
        <x:v>49250</x:v>
      </x:c>
      <x:c r="F58" s="52" t="n">
        <x:v>1</x:v>
      </x:c>
      <x:c r="G58" s="52" t="n">
        <x:v>50000</x:v>
      </x:c>
      <x:c r="H58" s="43" t="n">
        <x:f>G58+SUMIFS('Transactions'!$I$24:$I$29,'Transactions'!$C$24:$C$29,"&lt;="&amp;B58)</x:f>
        <x:v>89500</x:v>
      </x:c>
      <x:c r="I58" s="43" t="n">
        <x:f>SUMIFS('Transactions'!$I$36:$I$38,'Transactions'!$C$36:$C$38,"&lt;="&amp;B58)</x:f>
        <x:v>-40250</x:v>
      </x:c>
      <x:c r="J58" s="53" t="n">
        <x:f>H58+I58</x:f>
        <x:v>49250</x:v>
      </x:c>
      <x:c r="K58" s="53" t="n">
        <x:f>H58*F58</x:f>
        <x:v>89500</x:v>
      </x:c>
      <x:c r="L58" s="53" t="n">
        <x:f>J58*D58</x:f>
        <x:v>49250</x:v>
      </x:c>
      <x:c r="M58" s="53" t="n">
        <x:f>E58*D58</x:f>
        <x:v>49250</x:v>
      </x:c>
      <x:c r="N58" s="53" t="n">
        <x:f>K58-M58</x:f>
        <x:v>40250</x:v>
      </x:c>
      <x:c r="O58" s="53" t="n">
        <x:f>L58-M58</x:f>
        <x:v>0</x:v>
      </x:c>
      <x:c r="P58" s="38"/>
      <x:c r="Q58" s="38"/>
      <x:c r="R58" s="38"/>
      <x:c r="S58" s="38"/>
      <x:c r="T58" s="38"/>
      <x:c r="U58" s="38"/>
    </x:row>
    <x:row r="59" ht="23" customHeight="1">
      <x:c r="A59" s="38"/>
      <x:c r="B59" s="38"/>
      <x:c r="C59" s="38"/>
      <x:c r="D59" s="38"/>
      <x:c r="E59" s="38"/>
      <x:c r="F59" s="38"/>
      <x:c r="G59" s="38"/>
      <x:c r="H59" s="38"/>
      <x:c r="I59" s="38"/>
      <x:c r="J59" s="38"/>
      <x:c r="K59" s="38"/>
      <x:c r="L59" s="38"/>
      <x:c r="M59" s="38"/>
      <x:c r="N59" s="38"/>
      <x:c r="O59" s="38"/>
      <x:c r="P59" s="38"/>
      <x:c r="Q59" s="38"/>
      <x:c r="R59" s="38"/>
      <x:c r="S59" s="38"/>
      <x:c r="T59" s="38"/>
      <x:c r="U59" s="38"/>
    </x:row>
    <x:row r="60" ht="23" customHeight="1">
      <x:c r="A60" s="38"/>
      <x:c r="B60" s="38"/>
      <x:c r="C60" s="38"/>
      <x:c r="D60" s="38"/>
      <x:c r="E60" s="38"/>
      <x:c r="F60" s="38"/>
      <x:c r="G60" s="38"/>
      <x:c r="H60" s="38"/>
      <x:c r="I60" s="38"/>
      <x:c r="J60" s="38"/>
      <x:c r="K60" s="38"/>
      <x:c r="L60" s="38"/>
      <x:c r="M60" s="38"/>
      <x:c r="N60" s="38"/>
      <x:c r="O60" s="38"/>
      <x:c r="P60" s="38"/>
      <x:c r="Q60" s="38"/>
      <x:c r="R60" s="38"/>
      <x:c r="S60" s="38"/>
      <x:c r="T60" s="38"/>
      <x:c r="U60" s="38"/>
    </x:row>
    <x:row r="61" ht="40" customHeight="1">
      <x:c r="A61" s="38"/>
      <x:c r="B61" s="40" t="str">
        <x:v>Prices and statement units are simulated external inputs, independently generated from the clean transaction file. Book units are calculated from the flawed internal ledger. All corrected differences must be zero.</x:v>
      </x:c>
      <x:c r="C61" s="40"/>
      <x:c r="D61" s="40"/>
      <x:c r="E61" s="40"/>
      <x:c r="F61" s="40"/>
      <x:c r="G61" s="40"/>
      <x:c r="H61" s="40"/>
      <x:c r="I61" s="40"/>
      <x:c r="J61" s="40"/>
      <x:c r="K61" s="40"/>
      <x:c r="L61" s="40"/>
      <x:c r="M61" s="40"/>
      <x:c r="N61" s="40"/>
      <x:c r="O61" s="40"/>
      <x:c r="P61" s="38"/>
      <x:c r="Q61" s="38"/>
      <x:c r="R61" s="38"/>
      <x:c r="S61" s="38"/>
      <x:c r="T61" s="38"/>
      <x:c r="U61" s="38"/>
    </x:row>
    <x:row r="62" ht="23" customHeight="1">
      <x:c r="A62" s="38"/>
      <x:c r="B62" s="38"/>
      <x:c r="C62" s="38"/>
      <x:c r="D62" s="38"/>
      <x:c r="E62" s="38"/>
      <x:c r="F62" s="38"/>
      <x:c r="G62" s="38"/>
      <x:c r="H62" s="38"/>
      <x:c r="I62" s="38"/>
      <x:c r="J62" s="38"/>
      <x:c r="K62" s="38"/>
      <x:c r="L62" s="38"/>
      <x:c r="M62" s="38"/>
      <x:c r="N62" s="38"/>
      <x:c r="O62" s="38"/>
      <x:c r="P62" s="38"/>
      <x:c r="Q62" s="38"/>
      <x:c r="R62" s="38"/>
      <x:c r="S62" s="38"/>
      <x:c r="T62" s="38"/>
      <x:c r="U62" s="38"/>
    </x:row>
    <x:row r="63" ht="23" customHeight="1">
      <x:c r="A63" s="38"/>
      <x:c r="B63" s="38"/>
      <x:c r="C63" s="38"/>
      <x:c r="D63" s="38"/>
      <x:c r="E63" s="38"/>
      <x:c r="F63" s="38"/>
      <x:c r="G63" s="38"/>
      <x:c r="H63" s="38"/>
      <x:c r="I63" s="38"/>
      <x:c r="J63" s="38"/>
      <x:c r="K63" s="38"/>
      <x:c r="L63" s="38"/>
      <x:c r="M63" s="38"/>
      <x:c r="N63" s="38"/>
      <x:c r="O63" s="38"/>
      <x:c r="P63" s="38"/>
      <x:c r="Q63" s="38"/>
      <x:c r="R63" s="38"/>
      <x:c r="S63" s="38"/>
      <x:c r="T63" s="38"/>
      <x:c r="U63" s="38"/>
    </x:row>
    <x:row r="64" ht="23" customHeight="1">
      <x:c r="A64" s="38"/>
      <x:c r="B64" s="38"/>
      <x:c r="C64" s="38"/>
      <x:c r="D64" s="38"/>
      <x:c r="E64" s="38"/>
      <x:c r="F64" s="38"/>
      <x:c r="G64" s="38"/>
      <x:c r="H64" s="38"/>
      <x:c r="I64" s="38"/>
      <x:c r="J64" s="38"/>
      <x:c r="K64" s="38"/>
      <x:c r="L64" s="38"/>
      <x:c r="M64" s="38"/>
      <x:c r="N64" s="38"/>
      <x:c r="O64" s="38"/>
      <x:c r="P64" s="38"/>
      <x:c r="Q64" s="38"/>
      <x:c r="R64" s="38"/>
      <x:c r="S64" s="38"/>
      <x:c r="T64" s="38"/>
      <x:c r="U64" s="38"/>
    </x:row>
    <x:row r="65" ht="23" customHeight="1">
      <x:c r="A65" s="38"/>
      <x:c r="B65" s="38"/>
      <x:c r="C65" s="38"/>
      <x:c r="D65" s="38"/>
      <x:c r="E65" s="38"/>
      <x:c r="F65" s="38"/>
      <x:c r="G65" s="38"/>
      <x:c r="H65" s="38"/>
      <x:c r="I65" s="38"/>
      <x:c r="J65" s="38"/>
      <x:c r="K65" s="38"/>
      <x:c r="L65" s="38"/>
      <x:c r="M65" s="38"/>
      <x:c r="N65" s="38"/>
      <x:c r="O65" s="38"/>
      <x:c r="P65" s="38"/>
      <x:c r="Q65" s="38"/>
      <x:c r="R65" s="38"/>
      <x:c r="S65" s="38"/>
      <x:c r="T65" s="38"/>
      <x:c r="U65" s="38"/>
    </x:row>
    <x:row r="66" ht="23" customHeight="1">
      <x:c r="A66" s="38"/>
      <x:c r="B66" s="38"/>
      <x:c r="C66" s="38"/>
      <x:c r="D66" s="38"/>
      <x:c r="E66" s="38"/>
      <x:c r="F66" s="38"/>
      <x:c r="G66" s="38"/>
      <x:c r="H66" s="38"/>
      <x:c r="I66" s="38"/>
      <x:c r="J66" s="38"/>
      <x:c r="K66" s="38"/>
      <x:c r="L66" s="38"/>
      <x:c r="M66" s="38"/>
      <x:c r="N66" s="38"/>
      <x:c r="O66" s="38"/>
      <x:c r="P66" s="38"/>
      <x:c r="Q66" s="38"/>
      <x:c r="R66" s="38"/>
      <x:c r="S66" s="38"/>
      <x:c r="T66" s="38"/>
      <x:c r="U66" s="38"/>
    </x:row>
    <x:row r="67" ht="23" customHeight="1">
      <x:c r="A67" s="38"/>
      <x:c r="B67" s="38"/>
      <x:c r="C67" s="38"/>
      <x:c r="D67" s="38"/>
      <x:c r="E67" s="38"/>
      <x:c r="F67" s="38"/>
      <x:c r="G67" s="38"/>
      <x:c r="H67" s="38"/>
      <x:c r="I67" s="38"/>
      <x:c r="J67" s="38"/>
      <x:c r="K67" s="38"/>
      <x:c r="L67" s="38"/>
      <x:c r="M67" s="38"/>
      <x:c r="N67" s="38"/>
      <x:c r="O67" s="38"/>
      <x:c r="P67" s="38"/>
      <x:c r="Q67" s="38"/>
      <x:c r="R67" s="38"/>
      <x:c r="S67" s="38"/>
      <x:c r="T67" s="38"/>
      <x:c r="U67" s="38"/>
    </x:row>
    <x:row r="68" ht="23" customHeight="1">
      <x:c r="A68" s="38"/>
      <x:c r="B68" s="38"/>
      <x:c r="C68" s="38"/>
      <x:c r="D68" s="38"/>
      <x:c r="E68" s="38"/>
      <x:c r="F68" s="38"/>
      <x:c r="G68" s="38"/>
      <x:c r="H68" s="38"/>
      <x:c r="I68" s="38"/>
      <x:c r="J68" s="38"/>
      <x:c r="K68" s="38"/>
      <x:c r="L68" s="38"/>
      <x:c r="M68" s="38"/>
      <x:c r="N68" s="38"/>
      <x:c r="O68" s="38"/>
      <x:c r="P68" s="38"/>
      <x:c r="Q68" s="38"/>
      <x:c r="R68" s="38"/>
      <x:c r="S68" s="38"/>
      <x:c r="T68" s="38"/>
      <x:c r="U68" s="38"/>
    </x:row>
    <x:row r="69" ht="23" customHeight="1">
      <x:c r="A69" s="38"/>
      <x:c r="B69" s="38"/>
      <x:c r="C69" s="38"/>
      <x:c r="D69" s="38"/>
      <x:c r="E69" s="38"/>
      <x:c r="F69" s="38"/>
      <x:c r="G69" s="38"/>
      <x:c r="H69" s="38"/>
      <x:c r="I69" s="38"/>
      <x:c r="J69" s="38"/>
      <x:c r="K69" s="38"/>
      <x:c r="L69" s="38"/>
      <x:c r="M69" s="38"/>
      <x:c r="N69" s="38"/>
      <x:c r="O69" s="38"/>
      <x:c r="P69" s="38"/>
      <x:c r="Q69" s="38"/>
      <x:c r="R69" s="38"/>
      <x:c r="S69" s="38"/>
      <x:c r="T69" s="38"/>
      <x:c r="U69" s="38"/>
    </x:row>
    <x:row r="70" ht="23" customHeight="1">
      <x:c r="A70" s="38"/>
      <x:c r="B70" s="38"/>
      <x:c r="C70" s="38"/>
      <x:c r="D70" s="38"/>
      <x:c r="E70" s="38"/>
      <x:c r="F70" s="38"/>
      <x:c r="G70" s="38"/>
      <x:c r="H70" s="38"/>
      <x:c r="I70" s="38"/>
      <x:c r="J70" s="38"/>
      <x:c r="K70" s="38"/>
      <x:c r="L70" s="38"/>
      <x:c r="M70" s="38"/>
      <x:c r="N70" s="38"/>
      <x:c r="O70" s="38"/>
      <x:c r="P70" s="38"/>
      <x:c r="Q70" s="38"/>
      <x:c r="R70" s="38"/>
      <x:c r="S70" s="38"/>
      <x:c r="T70" s="38"/>
      <x:c r="U70" s="38"/>
    </x:row>
    <x:row r="71" ht="23" customHeight="1">
      <x:c r="A71" s="38"/>
      <x:c r="B71" s="38"/>
      <x:c r="C71" s="38"/>
      <x:c r="D71" s="38"/>
      <x:c r="E71" s="38"/>
      <x:c r="F71" s="38"/>
      <x:c r="G71" s="38"/>
      <x:c r="H71" s="38"/>
      <x:c r="I71" s="38"/>
      <x:c r="J71" s="38"/>
      <x:c r="K71" s="38"/>
      <x:c r="L71" s="38"/>
      <x:c r="M71" s="38"/>
      <x:c r="N71" s="38"/>
      <x:c r="O71" s="38"/>
      <x:c r="P71" s="38"/>
      <x:c r="Q71" s="38"/>
      <x:c r="R71" s="38"/>
      <x:c r="S71" s="38"/>
      <x:c r="T71" s="38"/>
      <x:c r="U71" s="38"/>
    </x:row>
    <x:row r="72" ht="23" customHeight="1">
      <x:c r="A72" s="38"/>
      <x:c r="B72" s="38"/>
      <x:c r="C72" s="38"/>
      <x:c r="D72" s="38"/>
      <x:c r="E72" s="38"/>
      <x:c r="F72" s="38"/>
      <x:c r="G72" s="38"/>
      <x:c r="H72" s="38"/>
      <x:c r="I72" s="38"/>
      <x:c r="J72" s="38"/>
      <x:c r="K72" s="38"/>
      <x:c r="L72" s="38"/>
      <x:c r="M72" s="38"/>
      <x:c r="N72" s="38"/>
      <x:c r="O72" s="38"/>
      <x:c r="P72" s="38"/>
      <x:c r="Q72" s="38"/>
      <x:c r="R72" s="38"/>
      <x:c r="S72" s="38"/>
      <x:c r="T72" s="38"/>
      <x:c r="U72" s="38"/>
    </x:row>
    <x:row r="73" ht="23" customHeight="1">
      <x:c r="A73" s="38"/>
      <x:c r="B73" s="38"/>
      <x:c r="C73" s="38"/>
      <x:c r="D73" s="38"/>
      <x:c r="E73" s="38"/>
      <x:c r="F73" s="38"/>
      <x:c r="G73" s="38"/>
      <x:c r="H73" s="38"/>
      <x:c r="I73" s="38"/>
      <x:c r="J73" s="38"/>
      <x:c r="K73" s="38"/>
      <x:c r="L73" s="38"/>
      <x:c r="M73" s="38"/>
      <x:c r="N73" s="38"/>
      <x:c r="O73" s="38"/>
      <x:c r="P73" s="38"/>
      <x:c r="Q73" s="38"/>
      <x:c r="R73" s="38"/>
      <x:c r="S73" s="38"/>
      <x:c r="T73" s="38"/>
      <x:c r="U73" s="38"/>
    </x:row>
    <x:row r="74" ht="23" customHeight="1">
      <x:c r="A74" s="38"/>
      <x:c r="B74" s="38"/>
      <x:c r="C74" s="38"/>
      <x:c r="D74" s="38"/>
      <x:c r="E74" s="38"/>
      <x:c r="F74" s="38"/>
      <x:c r="G74" s="38"/>
      <x:c r="H74" s="38"/>
      <x:c r="I74" s="38"/>
      <x:c r="J74" s="38"/>
      <x:c r="K74" s="38"/>
      <x:c r="L74" s="38"/>
      <x:c r="M74" s="38"/>
      <x:c r="N74" s="38"/>
      <x:c r="O74" s="38"/>
      <x:c r="P74" s="38"/>
      <x:c r="Q74" s="38"/>
      <x:c r="R74" s="38"/>
      <x:c r="S74" s="38"/>
      <x:c r="T74" s="38"/>
      <x:c r="U74" s="38"/>
    </x:row>
    <x:row r="75" ht="23" customHeight="1">
      <x:c r="A75" s="38"/>
      <x:c r="B75" s="38"/>
      <x:c r="C75" s="38"/>
      <x:c r="D75" s="38"/>
      <x:c r="E75" s="38"/>
      <x:c r="F75" s="38"/>
      <x:c r="G75" s="38"/>
      <x:c r="H75" s="38"/>
      <x:c r="I75" s="38"/>
      <x:c r="J75" s="38"/>
      <x:c r="K75" s="38"/>
      <x:c r="L75" s="38"/>
      <x:c r="M75" s="38"/>
      <x:c r="N75" s="38"/>
      <x:c r="O75" s="38"/>
      <x:c r="P75" s="38"/>
      <x:c r="Q75" s="38"/>
      <x:c r="R75" s="38"/>
      <x:c r="S75" s="38"/>
      <x:c r="T75" s="38"/>
      <x:c r="U75" s="38"/>
    </x:row>
    <x:row r="76" ht="23" customHeight="1">
      <x:c r="A76" s="38"/>
      <x:c r="B76" s="38"/>
      <x:c r="C76" s="38"/>
      <x:c r="D76" s="38"/>
      <x:c r="E76" s="38"/>
      <x:c r="F76" s="38"/>
      <x:c r="G76" s="38"/>
      <x:c r="H76" s="38"/>
      <x:c r="I76" s="38"/>
      <x:c r="J76" s="38"/>
      <x:c r="K76" s="38"/>
      <x:c r="L76" s="38"/>
      <x:c r="M76" s="38"/>
      <x:c r="N76" s="38"/>
      <x:c r="O76" s="38"/>
      <x:c r="P76" s="38"/>
      <x:c r="Q76" s="38"/>
      <x:c r="R76" s="38"/>
      <x:c r="S76" s="38"/>
      <x:c r="T76" s="38"/>
      <x:c r="U76" s="38"/>
    </x:row>
    <x:row r="77" ht="23" customHeight="1">
      <x:c r="A77" s="38"/>
      <x:c r="B77" s="38"/>
      <x:c r="C77" s="38"/>
      <x:c r="D77" s="38"/>
      <x:c r="E77" s="38"/>
      <x:c r="F77" s="38"/>
      <x:c r="G77" s="38"/>
      <x:c r="H77" s="38"/>
      <x:c r="I77" s="38"/>
      <x:c r="J77" s="38"/>
      <x:c r="K77" s="38"/>
      <x:c r="L77" s="38"/>
      <x:c r="M77" s="38"/>
      <x:c r="N77" s="38"/>
      <x:c r="O77" s="38"/>
      <x:c r="P77" s="38"/>
      <x:c r="Q77" s="38"/>
      <x:c r="R77" s="38"/>
      <x:c r="S77" s="38"/>
      <x:c r="T77" s="38"/>
      <x:c r="U77" s="38"/>
    </x:row>
    <x:row r="78" ht="23" customHeight="1">
      <x:c r="A78" s="38"/>
      <x:c r="B78" s="38"/>
      <x:c r="C78" s="38"/>
      <x:c r="D78" s="38"/>
      <x:c r="E78" s="38"/>
      <x:c r="F78" s="38"/>
      <x:c r="G78" s="38"/>
      <x:c r="H78" s="38"/>
      <x:c r="I78" s="38"/>
      <x:c r="J78" s="38"/>
      <x:c r="K78" s="38"/>
      <x:c r="L78" s="38"/>
      <x:c r="M78" s="38"/>
      <x:c r="N78" s="38"/>
      <x:c r="O78" s="38"/>
      <x:c r="P78" s="38"/>
      <x:c r="Q78" s="38"/>
      <x:c r="R78" s="38"/>
      <x:c r="S78" s="38"/>
      <x:c r="T78" s="38"/>
      <x:c r="U78" s="38"/>
    </x:row>
    <x:row r="79" ht="23" customHeight="1">
      <x:c r="A79" s="38"/>
      <x:c r="B79" s="38"/>
      <x:c r="C79" s="38"/>
      <x:c r="D79" s="38"/>
      <x:c r="E79" s="38"/>
      <x:c r="F79" s="38"/>
      <x:c r="G79" s="38"/>
      <x:c r="H79" s="38"/>
      <x:c r="I79" s="38"/>
      <x:c r="J79" s="38"/>
      <x:c r="K79" s="38"/>
      <x:c r="L79" s="38"/>
      <x:c r="M79" s="38"/>
      <x:c r="N79" s="38"/>
      <x:c r="O79" s="38"/>
      <x:c r="P79" s="38"/>
      <x:c r="Q79" s="38"/>
      <x:c r="R79" s="38"/>
      <x:c r="S79" s="38"/>
      <x:c r="T79" s="38"/>
      <x:c r="U79" s="38"/>
    </x:row>
    <x:row r="80" ht="23" customHeight="1">
      <x:c r="A80" s="38"/>
      <x:c r="B80" s="38"/>
      <x:c r="C80" s="38"/>
      <x:c r="D80" s="38"/>
      <x:c r="E80" s="38"/>
      <x:c r="F80" s="38"/>
      <x:c r="G80" s="38"/>
      <x:c r="H80" s="38"/>
      <x:c r="I80" s="38"/>
      <x:c r="J80" s="38"/>
      <x:c r="K80" s="38"/>
      <x:c r="L80" s="38"/>
      <x:c r="M80" s="38"/>
      <x:c r="N80" s="38"/>
      <x:c r="O80" s="38"/>
      <x:c r="P80" s="38"/>
      <x:c r="Q80" s="38"/>
      <x:c r="R80" s="38"/>
      <x:c r="S80" s="38"/>
      <x:c r="T80" s="38"/>
      <x:c r="U80" s="38"/>
    </x:row>
    <x:row r="81" ht="23" customHeight="1">
      <x:c r="A81" s="38"/>
      <x:c r="B81" s="38"/>
      <x:c r="C81" s="38"/>
      <x:c r="D81" s="38"/>
      <x:c r="E81" s="38"/>
      <x:c r="F81" s="38"/>
      <x:c r="G81" s="38"/>
      <x:c r="H81" s="38"/>
      <x:c r="I81" s="38"/>
      <x:c r="J81" s="38"/>
      <x:c r="K81" s="38"/>
      <x:c r="L81" s="38"/>
      <x:c r="M81" s="38"/>
      <x:c r="N81" s="38"/>
      <x:c r="O81" s="38"/>
      <x:c r="P81" s="38"/>
      <x:c r="Q81" s="38"/>
      <x:c r="R81" s="38"/>
      <x:c r="S81" s="38"/>
      <x:c r="T81" s="38"/>
      <x:c r="U81" s="38"/>
    </x:row>
    <x:row r="82" ht="23" customHeight="1">
      <x:c r="A82" s="38"/>
      <x:c r="B82" s="38"/>
      <x:c r="C82" s="38"/>
      <x:c r="D82" s="38"/>
      <x:c r="E82" s="38"/>
      <x:c r="F82" s="38"/>
      <x:c r="G82" s="38"/>
      <x:c r="H82" s="38"/>
      <x:c r="I82" s="38"/>
      <x:c r="J82" s="38"/>
      <x:c r="K82" s="38"/>
      <x:c r="L82" s="38"/>
      <x:c r="M82" s="38"/>
      <x:c r="N82" s="38"/>
      <x:c r="O82" s="38"/>
      <x:c r="P82" s="38"/>
      <x:c r="Q82" s="38"/>
      <x:c r="R82" s="38"/>
      <x:c r="S82" s="38"/>
      <x:c r="T82" s="38"/>
      <x:c r="U82" s="38"/>
    </x:row>
    <x:row r="83" ht="23" customHeight="1">
      <x:c r="A83" s="38"/>
      <x:c r="B83" s="38"/>
      <x:c r="C83" s="38"/>
      <x:c r="D83" s="38"/>
      <x:c r="E83" s="38"/>
      <x:c r="F83" s="38"/>
      <x:c r="G83" s="38"/>
      <x:c r="H83" s="38"/>
      <x:c r="I83" s="38"/>
      <x:c r="J83" s="38"/>
      <x:c r="K83" s="38"/>
      <x:c r="L83" s="38"/>
      <x:c r="M83" s="38"/>
      <x:c r="N83" s="38"/>
      <x:c r="O83" s="38"/>
      <x:c r="P83" s="38"/>
      <x:c r="Q83" s="38"/>
      <x:c r="R83" s="38"/>
      <x:c r="S83" s="38"/>
      <x:c r="T83" s="38"/>
      <x:c r="U83" s="38"/>
    </x:row>
    <x:row r="84" ht="23" customHeight="1">
      <x:c r="A84" s="38"/>
      <x:c r="B84" s="38"/>
      <x:c r="C84" s="38"/>
      <x:c r="D84" s="38"/>
      <x:c r="E84" s="38"/>
      <x:c r="F84" s="38"/>
      <x:c r="G84" s="38"/>
      <x:c r="H84" s="38"/>
      <x:c r="I84" s="38"/>
      <x:c r="J84" s="38"/>
      <x:c r="K84" s="38"/>
      <x:c r="L84" s="38"/>
      <x:c r="M84" s="38"/>
      <x:c r="N84" s="38"/>
      <x:c r="O84" s="38"/>
      <x:c r="P84" s="38"/>
      <x:c r="Q84" s="38"/>
      <x:c r="R84" s="38"/>
      <x:c r="S84" s="38"/>
      <x:c r="T84" s="38"/>
      <x:c r="U84" s="38"/>
    </x:row>
    <x:row r="85" ht="23" customHeight="1">
      <x:c r="A85" s="38"/>
      <x:c r="B85" s="38"/>
      <x:c r="C85" s="38"/>
      <x:c r="D85" s="38"/>
      <x:c r="E85" s="38"/>
      <x:c r="F85" s="38"/>
      <x:c r="G85" s="38"/>
      <x:c r="H85" s="38"/>
      <x:c r="I85" s="38"/>
      <x:c r="J85" s="38"/>
      <x:c r="K85" s="38"/>
      <x:c r="L85" s="38"/>
      <x:c r="M85" s="38"/>
      <x:c r="N85" s="38"/>
      <x:c r="O85" s="38"/>
      <x:c r="P85" s="38"/>
      <x:c r="Q85" s="38"/>
      <x:c r="R85" s="38"/>
      <x:c r="S85" s="38"/>
      <x:c r="T85" s="38"/>
      <x:c r="U85" s="38"/>
    </x:row>
  </x:sheetData>
  <x:mergeCells>
    <x:mergeCell ref="B2:P3"/>
    <x:mergeCell ref="B4:P5"/>
    <x:mergeCell ref="B61:O6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007F86"/>
  </x:sheetPr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3" hidden="0" customWidth="1"/>
    <x:col min="2" max="2" width="26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</x:cols>
  <x:sheetData>
    <x:row r="1" ht="23" customHeight="1">
      <x:c r="A1" s="38"/>
      <x:c r="B1" s="38"/>
      <x:c r="C1" s="38"/>
      <x:c r="D1" s="38"/>
      <x:c r="E1" s="38"/>
      <x:c r="F1" s="38"/>
      <x:c r="G1" s="38"/>
      <x:c r="H1" s="38"/>
      <x:c r="I1" s="38"/>
      <x:c r="J1" s="38"/>
      <x:c r="K1" s="38"/>
      <x:c r="L1" s="38"/>
      <x:c r="M1" s="38"/>
      <x:c r="N1" s="38"/>
      <x:c r="O1" s="38"/>
      <x:c r="P1" s="38"/>
      <x:c r="Q1" s="38"/>
      <x:c r="R1" s="38"/>
      <x:c r="S1" s="38"/>
      <x:c r="T1" s="38"/>
      <x:c r="U1" s="38"/>
    </x:row>
    <x:row r="2" ht="23" customHeight="1">
      <x:c r="A2" s="38"/>
      <x:c r="B2" s="4" t="str">
        <x:v>Quarterly performance calculation</x:v>
      </x:c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38"/>
      <x:c r="T2" s="38"/>
      <x:c r="U2" s="38"/>
    </x:row>
    <x:row r="3" ht="23" customHeight="1">
      <x:c r="A3" s="38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38"/>
      <x:c r="T3" s="38"/>
      <x:c r="U3" s="38"/>
    </x:row>
    <x:row r="4" ht="23" customHeight="1">
      <x:c r="A4" s="38"/>
      <x:c r="B4" s="39" t="str">
        <x:v>Q4 2021 • USD • valuations at every external-flow date • flows at end of date; fees charged before external flows.</x:v>
      </x:c>
      <x:c r="C4" s="39"/>
      <x:c r="D4" s="39"/>
      <x:c r="E4" s="39"/>
      <x:c r="F4" s="39"/>
      <x:c r="G4" s="39"/>
      <x:c r="H4" s="39"/>
      <x:c r="I4" s="39"/>
      <x:c r="J4" s="39"/>
      <x:c r="K4" s="39"/>
      <x:c r="L4" s="39"/>
      <x:c r="M4" s="39"/>
      <x:c r="N4" s="39"/>
      <x:c r="O4" s="39"/>
      <x:c r="P4" s="39"/>
      <x:c r="Q4" s="39"/>
      <x:c r="R4" s="39"/>
      <x:c r="S4" s="38"/>
      <x:c r="T4" s="38"/>
      <x:c r="U4" s="38"/>
    </x:row>
    <x:row r="5" ht="23" customHeight="1">
      <x:c r="A5" s="38"/>
      <x:c r="B5" s="39"/>
      <x:c r="C5" s="39"/>
      <x:c r="D5" s="39"/>
      <x:c r="E5" s="39"/>
      <x:c r="F5" s="39"/>
      <x:c r="G5" s="39"/>
      <x:c r="H5" s="39"/>
      <x:c r="I5" s="39"/>
      <x:c r="J5" s="39"/>
      <x:c r="K5" s="39"/>
      <x:c r="L5" s="39"/>
      <x:c r="M5" s="39"/>
      <x:c r="N5" s="39"/>
      <x:c r="O5" s="39"/>
      <x:c r="P5" s="39"/>
      <x:c r="Q5" s="39"/>
      <x:c r="R5" s="39"/>
      <x:c r="S5" s="38"/>
      <x:c r="T5" s="38"/>
      <x:c r="U5" s="38"/>
    </x:row>
    <x:row r="6" ht="23" customHeight="1">
      <x:c r="A6" s="38"/>
      <x:c r="B6" s="38"/>
      <x:c r="C6" s="38"/>
      <x:c r="D6" s="38"/>
      <x:c r="E6" s="38"/>
      <x:c r="F6" s="38"/>
      <x:c r="G6" s="38"/>
      <x:c r="H6" s="38"/>
      <x:c r="I6" s="38"/>
      <x:c r="J6" s="38"/>
      <x:c r="K6" s="38"/>
      <x:c r="L6" s="38"/>
      <x:c r="M6" s="38"/>
      <x:c r="N6" s="38"/>
      <x:c r="O6" s="38"/>
      <x:c r="P6" s="38"/>
      <x:c r="Q6" s="38"/>
      <x:c r="R6" s="38"/>
      <x:c r="S6" s="38"/>
      <x:c r="T6" s="38"/>
      <x:c r="U6" s="38"/>
    </x:row>
    <x:row r="7" ht="23" customHeight="1">
      <x:c r="A7" s="38"/>
      <x:c r="B7" s="38"/>
      <x:c r="C7" s="38"/>
      <x:c r="D7" s="38"/>
      <x:c r="E7" s="38"/>
      <x:c r="F7" s="38"/>
      <x:c r="G7" s="38"/>
      <x:c r="H7" s="38"/>
      <x:c r="I7" s="38"/>
      <x:c r="J7" s="38"/>
      <x:c r="K7" s="38"/>
      <x:c r="L7" s="38"/>
      <x:c r="M7" s="38"/>
      <x:c r="N7" s="38"/>
      <x:c r="O7" s="38"/>
      <x:c r="P7" s="38"/>
      <x:c r="Q7" s="38"/>
      <x:c r="R7" s="38"/>
      <x:c r="S7" s="38"/>
      <x:c r="T7" s="38"/>
      <x:c r="U7" s="38"/>
    </x:row>
    <x:row r="8" ht="23" customHeight="1">
      <x:c r="A8" s="38"/>
      <x:c r="B8" s="38"/>
      <x:c r="C8" s="38"/>
      <x:c r="D8" s="38"/>
      <x:c r="E8" s="38"/>
      <x:c r="F8" s="38"/>
      <x:c r="G8" s="38"/>
      <x:c r="H8" s="38"/>
      <x:c r="I8" s="38"/>
      <x:c r="J8" s="38"/>
      <x:c r="K8" s="38"/>
      <x:c r="L8" s="38"/>
      <x:c r="M8" s="38"/>
      <x:c r="N8" s="38"/>
      <x:c r="O8" s="38"/>
      <x:c r="P8" s="38"/>
      <x:c r="Q8" s="38"/>
      <x:c r="R8" s="38"/>
      <x:c r="S8" s="38"/>
      <x:c r="T8" s="38"/>
      <x:c r="U8" s="38"/>
    </x:row>
    <x:row r="9" ht="34" customHeight="1">
      <x:c r="A9" s="38"/>
      <x:c r="B9" s="41" t="str">
        <x:v>Date</x:v>
      </x:c>
      <x:c r="C9" s="41" t="str">
        <x:v>Statement NAV</x:v>
      </x:c>
      <x:c r="D9" s="41" t="str">
        <x:v>Raw book NAV</x:v>
      </x:c>
      <x:c r="E9" s="41" t="str">
        <x:v>Corrected NAV</x:v>
      </x:c>
      <x:c r="F9" s="41" t="str">
        <x:v>Raw external flow</x:v>
      </x:c>
      <x:c r="G9" s="41" t="str">
        <x:v>Flow adjustment</x:v>
      </x:c>
      <x:c r="H9" s="41" t="str">
        <x:v>Corrected flow</x:v>
      </x:c>
      <x:c r="I9" s="41" t="str">
        <x:v>Fee</x:v>
      </x:c>
      <x:c r="J9" s="41" t="str">
        <x:v>Net return</x:v>
      </x:c>
      <x:c r="K9" s="41" t="str">
        <x:v>Gross return</x:v>
      </x:c>
      <x:c r="L9" s="41" t="str">
        <x:v>Raw return</x:v>
      </x:c>
      <x:c r="M9" s="41" t="str">
        <x:v>Statement return</x:v>
      </x:c>
      <x:c r="N9" s="41" t="str">
        <x:v>Difference (bps)</x:v>
      </x:c>
      <x:c r="O9" s="41" t="str">
        <x:v>Flow-only return</x:v>
      </x:c>
      <x:c r="P9" s="41" t="str">
        <x:v>Net linked index</x:v>
      </x:c>
      <x:c r="Q9" s="41" t="str">
        <x:v>Benchmark index</x:v>
      </x:c>
      <x:c r="R9" s="38"/>
      <x:c r="S9" s="38"/>
      <x:c r="T9" s="38"/>
      <x:c r="U9" s="38"/>
    </x:row>
    <x:row r="10" ht="23" customHeight="1">
      <x:c r="A10" s="38"/>
      <x:c r="B10" s="38" t="str">
        <x:v>2021-09-30</x:v>
      </x:c>
      <x:c r="C10" s="43" t="n">
        <x:f>SUMIFS('Positions'!$M$10:$M$58,'Positions'!$B$10:$B$58,B10)</x:f>
        <x:v>1000000</x:v>
      </x:c>
      <x:c r="D10" s="43" t="n">
        <x:f>SUMIFS('Positions'!$K$10:$K$58,'Positions'!$B$10:$B$58,B10)</x:f>
        <x:v>1000000</x:v>
      </x:c>
      <x:c r="E10" s="43" t="n">
        <x:f>SUMIFS('Positions'!$L$10:$L$58,'Positions'!$B$10:$B$58,B10)</x:f>
        <x:v>1000000</x:v>
      </x:c>
      <x:c r="F10" s="43" t="n">
        <x:f>SUMIFS('Transactions'!$J$24:$J$29,'Transactions'!$C$24:$C$29,B10)</x:f>
        <x:v>0</x:v>
      </x:c>
      <x:c r="G10" s="43" t="n">
        <x:f>SUMIFS('Transactions'!$J$36:$J$38,'Transactions'!$C$36:$C$38,B10)</x:f>
        <x:v>0</x:v>
      </x:c>
      <x:c r="H10" s="53" t="n">
        <x:f>F10+G10</x:f>
        <x:v>0</x:v>
      </x:c>
      <x:c r="I10" s="43" t="n">
        <x:f>SUMIFS('Transactions'!$K$24:$K$29,'Transactions'!$C$24:$C$29,B10)+SUMIFS('Transactions'!$K$36:$K$38,'Transactions'!$C$36:$C$38,B10)</x:f>
        <x:v>0</x:v>
      </x:c>
      <x:c r="J10" s="54"/>
      <x:c r="K10" s="54"/>
      <x:c r="L10" s="54"/>
      <x:c r="M10" s="54"/>
      <x:c r="N10" s="55"/>
      <x:c r="O10" s="54"/>
      <x:c r="P10" s="56" t="n">
        <x:v>1</x:v>
      </x:c>
      <x:c r="Q10" s="57" t="n">
        <x:f>(1+'PGIM Returns'!$C$28)^((DATEVALUE(B10)-DATEVALUE($B$10))/365)</x:f>
        <x:v>1</x:v>
      </x:c>
      <x:c r="R10" s="38"/>
      <x:c r="S10" s="38"/>
      <x:c r="T10" s="38"/>
      <x:c r="U10" s="38"/>
    </x:row>
    <x:row r="11" ht="23" customHeight="1">
      <x:c r="A11" s="38"/>
      <x:c r="B11" s="38" t="str">
        <x:v>2021-10-15</x:v>
      </x:c>
      <x:c r="C11" s="43" t="n">
        <x:f>SUMIFS('Positions'!$M$10:$M$58,'Positions'!$B$10:$B$58,B11)</x:f>
        <x:v>1002586.9443237656</x:v>
      </x:c>
      <x:c r="D11" s="43" t="n">
        <x:f>SUMIFS('Positions'!$K$10:$K$58,'Positions'!$B$10:$B$58,B11)</x:f>
        <x:v>1002586.9443237656</x:v>
      </x:c>
      <x:c r="E11" s="43" t="n">
        <x:f>SUMIFS('Positions'!$L$10:$L$58,'Positions'!$B$10:$B$58,B11)</x:f>
        <x:v>1002586.9443237656</x:v>
      </x:c>
      <x:c r="F11" s="43" t="n">
        <x:f>SUMIFS('Transactions'!$J$24:$J$29,'Transactions'!$C$24:$C$29,B11)</x:f>
        <x:v>0</x:v>
      </x:c>
      <x:c r="G11" s="43" t="n">
        <x:f>SUMIFS('Transactions'!$J$36:$J$38,'Transactions'!$C$36:$C$38,B11)</x:f>
        <x:v>0</x:v>
      </x:c>
      <x:c r="H11" s="53" t="n">
        <x:f>F11+G11</x:f>
        <x:v>0</x:v>
      </x:c>
      <x:c r="I11" s="43" t="n">
        <x:f>SUMIFS('Transactions'!$K$24:$K$29,'Transactions'!$C$24:$C$29,B11)+SUMIFS('Transactions'!$K$36:$K$38,'Transactions'!$C$36:$C$38,B11)</x:f>
        <x:v>0</x:v>
      </x:c>
      <x:c r="J11" s="58" t="n">
        <x:f>(E11-H11)/E10-1</x:f>
        <x:v>0.0025869443237656053</x:v>
      </x:c>
      <x:c r="K11" s="58" t="n">
        <x:f>(E11-H11+I11)/E10-1</x:f>
        <x:v>0.0025869443237656053</x:v>
      </x:c>
      <x:c r="L11" s="58" t="n">
        <x:f>(D11-F11)/D10-1</x:f>
        <x:v>0.0025869443237656053</x:v>
      </x:c>
      <x:c r="M11" s="54" t="n">
        <x:v>0.00258694</x:v>
      </x:c>
      <x:c r="N11" s="47" t="n">
        <x:f>(J11-M11)*10000</x:f>
        <x:v>0.00004323765605534352</x:v>
      </x:c>
      <x:c r="O11" s="58" t="n">
        <x:f>(D11-H11)/D10-1</x:f>
        <x:v>0.0025869443237656053</x:v>
      </x:c>
      <x:c r="P11" s="59" t="n">
        <x:f>P10*(1+J11)</x:f>
        <x:v>1.0025869443237656</x:v>
      </x:c>
      <x:c r="Q11" s="57" t="n">
        <x:f>(1+'PGIM Returns'!$C$28)^((DATEVALUE(B11)-DATEVALUE($B$10))/365)</x:f>
        <x:v>1.0006120486111112</x:v>
      </x:c>
      <x:c r="R11" s="38"/>
      <x:c r="S11" s="38"/>
      <x:c r="T11" s="38"/>
      <x:c r="U11" s="38"/>
    </x:row>
    <x:row r="12" ht="23" customHeight="1">
      <x:c r="A12" s="38"/>
      <x:c r="B12" s="38" t="str">
        <x:v>2021-10-31</x:v>
      </x:c>
      <x:c r="C12" s="43" t="n">
        <x:f>SUMIFS('Positions'!$M$10:$M$58,'Positions'!$B$10:$B$58,B12)</x:f>
        <x:v>1004953.6056183546</x:v>
      </x:c>
      <x:c r="D12" s="43" t="n">
        <x:f>SUMIFS('Positions'!$K$10:$K$58,'Positions'!$B$10:$B$58,B12)</x:f>
        <x:v>1004953.6056183546</x:v>
      </x:c>
      <x:c r="E12" s="43" t="n">
        <x:f>SUMIFS('Positions'!$L$10:$L$58,'Positions'!$B$10:$B$58,B12)</x:f>
        <x:v>1004953.6056183546</x:v>
      </x:c>
      <x:c r="F12" s="43" t="n">
        <x:f>SUMIFS('Transactions'!$J$24:$J$29,'Transactions'!$C$24:$C$29,B12)</x:f>
        <x:v>0</x:v>
      </x:c>
      <x:c r="G12" s="43" t="n">
        <x:f>SUMIFS('Transactions'!$J$36:$J$38,'Transactions'!$C$36:$C$38,B12)</x:f>
        <x:v>0</x:v>
      </x:c>
      <x:c r="H12" s="53" t="n">
        <x:f>F12+G12</x:f>
        <x:v>0</x:v>
      </x:c>
      <x:c r="I12" s="43" t="n">
        <x:f>SUMIFS('Transactions'!$K$24:$K$29,'Transactions'!$C$24:$C$29,B12)+SUMIFS('Transactions'!$K$36:$K$38,'Transactions'!$C$36:$C$38,B12)</x:f>
        <x:v>250</x:v>
      </x:c>
      <x:c r="J12" s="58" t="n">
        <x:f>(E12-H12)/E11-1</x:f>
        <x:v>0.0023605546710816494</x:v>
      </x:c>
      <x:c r="K12" s="58" t="n">
        <x:f>(E12-H12+I12)/E11-1</x:f>
        <x:v>0.002609909603754179</x:v>
      </x:c>
      <x:c r="L12" s="58" t="n">
        <x:f>(D12-F12)/D11-1</x:f>
        <x:v>0.0023605546710816494</x:v>
      </x:c>
      <x:c r="M12" s="54" t="n">
        <x:v>0.00236055</x:v>
      </x:c>
      <x:c r="N12" s="47" t="n">
        <x:f>(J12-M12)*10000</x:f>
        <x:v>0.00004671081649514769</x:v>
      </x:c>
      <x:c r="O12" s="58" t="n">
        <x:f>(D12-H12)/D11-1</x:f>
        <x:v>0.0023605546710816494</x:v>
      </x:c>
      <x:c r="P12" s="59" t="n">
        <x:f>P11*(1+J12)</x:f>
        <x:v>1.0049536056183546</x:v>
      </x:c>
      <x:c r="Q12" s="57" t="n">
        <x:f>(1+'PGIM Returns'!$C$28)^((DATEVALUE(B12)-DATEVALUE($B$10))/365)</x:f>
        <x:v>1.0012653125</x:v>
      </x:c>
      <x:c r="R12" s="38"/>
      <x:c r="S12" s="38"/>
      <x:c r="T12" s="38"/>
      <x:c r="U12" s="38"/>
    </x:row>
    <x:row r="13" ht="23" customHeight="1">
      <x:c r="A13" s="38"/>
      <x:c r="B13" s="38" t="str">
        <x:v>2021-11-15</x:v>
      </x:c>
      <x:c r="C13" s="43" t="n">
        <x:f>SUMIFS('Positions'!$M$10:$M$58,'Positions'!$B$10:$B$58,B13)</x:f>
        <x:v>1107522.8576226803</x:v>
      </x:c>
      <x:c r="D13" s="43" t="n">
        <x:f>SUMIFS('Positions'!$K$10:$K$58,'Positions'!$B$10:$B$58,B13)</x:f>
        <x:v>1107522.8576226803</x:v>
      </x:c>
      <x:c r="E13" s="43" t="n">
        <x:f>SUMIFS('Positions'!$L$10:$L$58,'Positions'!$B$10:$B$58,B13)</x:f>
        <x:v>1107522.8576226803</x:v>
      </x:c>
      <x:c r="F13" s="43" t="n">
        <x:f>SUMIFS('Transactions'!$J$24:$J$29,'Transactions'!$C$24:$C$29,B13)</x:f>
        <x:v>0</x:v>
      </x:c>
      <x:c r="G13" s="43" t="n">
        <x:f>SUMIFS('Transactions'!$J$36:$J$38,'Transactions'!$C$36:$C$38,B13)</x:f>
        <x:v>100000</x:v>
      </x:c>
      <x:c r="H13" s="53" t="n">
        <x:f>F13+G13</x:f>
        <x:v>100000</x:v>
      </x:c>
      <x:c r="I13" s="43" t="n">
        <x:f>SUMIFS('Transactions'!$K$24:$K$29,'Transactions'!$C$24:$C$29,B13)+SUMIFS('Transactions'!$K$36:$K$38,'Transactions'!$C$36:$C$38,B13)</x:f>
        <x:v>0</x:v>
      </x:c>
      <x:c r="J13" s="58" t="n">
        <x:f>(E13-H13)/E12-1</x:f>
        <x:v>0.00255658767724376</x:v>
      </x:c>
      <x:c r="K13" s="58" t="n">
        <x:f>(E13-H13+I13)/E12-1</x:f>
        <x:v>0.00255658767724376</x:v>
      </x:c>
      <x:c r="L13" s="58" t="n">
        <x:f>(D13-F13)/D12-1</x:f>
        <x:v>0.10206366884092533</x:v>
      </x:c>
      <x:c r="M13" s="54" t="n">
        <x:v>0.00255659</x:v>
      </x:c>
      <x:c r="N13" s="47" t="n">
        <x:f>(J13-M13)*10000</x:f>
        <x:v>-0.00002322756239951651</x:v>
      </x:c>
      <x:c r="O13" s="58" t="n">
        <x:f>(D13-H13)/D12-1</x:f>
        <x:v>0.00255658767724376</x:v>
      </x:c>
      <x:c r="P13" s="59" t="n">
        <x:f>P12*(1+J13)</x:f>
        <x:v>1.0075228576226802</x:v>
      </x:c>
      <x:c r="Q13" s="57" t="n">
        <x:f>(1+'PGIM Returns'!$C$28)^((DATEVALUE(B13)-DATEVALUE($B$10))/365)</x:f>
        <x:v>1.001878136574074</x:v>
      </x:c>
      <x:c r="R13" s="38"/>
      <x:c r="S13" s="38"/>
      <x:c r="T13" s="38"/>
      <x:c r="U13" s="38"/>
    </x:row>
    <x:row r="14" ht="23" customHeight="1">
      <x:c r="A14" s="38"/>
      <x:c r="B14" s="38" t="str">
        <x:v>2021-11-30</x:v>
      </x:c>
      <x:c r="C14" s="43" t="n">
        <x:f>SUMIFS('Positions'!$M$10:$M$58,'Positions'!$B$10:$B$58,B14)</x:f>
        <x:v>1109755.9057176127</x:v>
      </x:c>
      <x:c r="D14" s="43" t="n">
        <x:f>SUMIFS('Positions'!$K$10:$K$58,'Positions'!$B$10:$B$58,B14)</x:f>
        <x:v>1109630.8162819978</x:v>
      </x:c>
      <x:c r="E14" s="43" t="n">
        <x:f>SUMIFS('Positions'!$L$10:$L$58,'Positions'!$B$10:$B$58,B14)</x:f>
        <x:v>1109755.9057176127</x:v>
      </x:c>
      <x:c r="F14" s="43" t="n">
        <x:f>SUMIFS('Transactions'!$J$24:$J$29,'Transactions'!$C$24:$C$29,B14)</x:f>
        <x:v>0</x:v>
      </x:c>
      <x:c r="G14" s="43" t="n">
        <x:f>SUMIFS('Transactions'!$J$36:$J$38,'Transactions'!$C$36:$C$38,B14)</x:f>
        <x:v>0</x:v>
      </x:c>
      <x:c r="H14" s="53" t="n">
        <x:f>F14+G14</x:f>
        <x:v>0</x:v>
      </x:c>
      <x:c r="I14" s="43" t="n">
        <x:f>SUMIFS('Transactions'!$K$24:$K$29,'Transactions'!$C$24:$C$29,B14)+SUMIFS('Transactions'!$K$36:$K$38,'Transactions'!$C$36:$C$38,B14)</x:f>
        <x:v>250</x:v>
      </x:c>
      <x:c r="J14" s="58" t="n">
        <x:f>(E14-H14)/E13-1</x:f>
        <x:v>0.0020162546348936328</x:v>
      </x:c>
      <x:c r="K14" s="58" t="n">
        <x:f>(E14-H14+I14)/E13-1</x:f>
        <x:v>0.0022419836103990676</x:v>
      </x:c>
      <x:c r="L14" s="58" t="n">
        <x:f>(D14-F14)/D13-1</x:f>
        <x:v>0.0019033093943021662</x:v>
      </x:c>
      <x:c r="M14" s="54" t="n">
        <x:v>0.00201625</x:v>
      </x:c>
      <x:c r="N14" s="47" t="n">
        <x:f>(J14-M14)*10000</x:f>
        <x:v>0.000046348936329557167</x:v>
      </x:c>
      <x:c r="O14" s="58" t="n">
        <x:f>(D14-H14)/D13-1</x:f>
        <x:v>0.0019033093943021662</x:v>
      </x:c>
      <x:c r="P14" s="59" t="n">
        <x:f>P13*(1+J14)</x:f>
        <x:v>1.0095542802541233</x:v>
      </x:c>
      <x:c r="Q14" s="57" t="n">
        <x:f>(1+'PGIM Returns'!$C$28)^((DATEVALUE(B14)-DATEVALUE($B$10))/365)</x:f>
        <x:v>1.0024913425925925</x:v>
      </x:c>
      <x:c r="R14" s="38"/>
      <x:c r="S14" s="38"/>
      <x:c r="T14" s="38"/>
      <x:c r="U14" s="38"/>
    </x:row>
    <x:row r="15" ht="23" customHeight="1">
      <x:c r="A15" s="38"/>
      <x:c r="B15" s="38" t="str">
        <x:v>2021-12-15</x:v>
      </x:c>
      <x:c r="C15" s="43" t="n">
        <x:f>SUMIFS('Positions'!$M$10:$M$58,'Positions'!$B$10:$B$58,B15)</x:f>
        <x:v>1059850.6533229733</x:v>
      </x:c>
      <x:c r="D15" s="43" t="n">
        <x:f>SUMIFS('Positions'!$K$10:$K$58,'Positions'!$B$10:$B$58,B15)</x:f>
        <x:v>1059608.9235922387</x:v>
      </x:c>
      <x:c r="E15" s="43" t="n">
        <x:f>SUMIFS('Positions'!$L$10:$L$58,'Positions'!$B$10:$B$58,B15)</x:f>
        <x:v>1059850.6533229733</x:v>
      </x:c>
      <x:c r="F15" s="43" t="n">
        <x:f>SUMIFS('Transactions'!$J$24:$J$29,'Transactions'!$C$24:$C$29,B15)</x:f>
        <x:v>-50000</x:v>
      </x:c>
      <x:c r="G15" s="43" t="n">
        <x:f>SUMIFS('Transactions'!$J$36:$J$38,'Transactions'!$C$36:$C$38,B15)</x:f>
        <x:v>0</x:v>
      </x:c>
      <x:c r="H15" s="53" t="n">
        <x:f>F15+G15</x:f>
        <x:v>-50000</x:v>
      </x:c>
      <x:c r="I15" s="43" t="n">
        <x:f>SUMIFS('Transactions'!$K$24:$K$29,'Transactions'!$C$24:$C$29,B15)+SUMIFS('Transactions'!$K$36:$K$38,'Transactions'!$C$36:$C$38,B15)</x:f>
        <x:v>0</x:v>
      </x:c>
      <x:c r="J15" s="58" t="n">
        <x:f>(E15-H15)/E14-1</x:f>
        <x:v>0.00008537697783128628</x:v>
      </x:c>
      <x:c r="K15" s="58" t="n">
        <x:f>(E15-H15+I15)/E14-1</x:f>
        <x:v>0.00008537697783128628</x:v>
      </x:c>
      <x:c r="L15" s="58" t="n">
        <x:f>(D15-F15)/D14-1</x:f>
        <x:v>-0.000019729705986848423</x:v>
      </x:c>
      <x:c r="M15" s="54" t="n">
        <x:v>0.00008538</x:v>
      </x:c>
      <x:c r="N15" s="47" t="n">
        <x:f>(J15-M15)*10000</x:f>
        <x:v>-0.000030221687137164856</x:v>
      </x:c>
      <x:c r="O15" s="58" t="n">
        <x:f>(D15-H15)/D14-1</x:f>
        <x:v>-0.000019729705986848423</x:v>
      </x:c>
      <x:c r="P15" s="59" t="n">
        <x:f>P14*(1+J15)</x:f>
        <x:v>1.0096404729475281</x:v>
      </x:c>
      <x:c r="Q15" s="57" t="n">
        <x:f>(1+'PGIM Returns'!$C$28)^((DATEVALUE(B15)-DATEVALUE($B$10))/365)</x:f>
        <x:v>1.0031049074074074</x:v>
      </x:c>
      <x:c r="R15" s="38"/>
      <x:c r="S15" s="38"/>
      <x:c r="T15" s="38"/>
      <x:c r="U15" s="38"/>
    </x:row>
    <x:row r="16" ht="23" customHeight="1">
      <x:c r="A16" s="38"/>
      <x:c r="B16" s="38" t="str">
        <x:v>2021-12-31</x:v>
      </x:c>
      <x:c r="C16" s="43" t="n">
        <x:f>SUMIFS('Positions'!$M$10:$M$58,'Positions'!$B$10:$B$58,B16)</x:f>
        <x:v>1059338.9612378185</x:v>
      </x:c>
      <x:c r="D16" s="43" t="n">
        <x:f>SUMIFS('Positions'!$K$10:$K$58,'Positions'!$B$10:$B$58,B16)</x:f>
        <x:v>1066039.974033901</x:v>
      </x:c>
      <x:c r="E16" s="43" t="n">
        <x:f>SUMIFS('Positions'!$L$10:$L$58,'Positions'!$B$10:$B$58,B16)</x:f>
        <x:v>1059338.9612378185</x:v>
      </x:c>
      <x:c r="F16" s="43" t="n">
        <x:f>SUMIFS('Transactions'!$J$24:$J$29,'Transactions'!$C$24:$C$29,B16)</x:f>
        <x:v>0</x:v>
      </x:c>
      <x:c r="G16" s="43" t="n">
        <x:f>SUMIFS('Transactions'!$J$36:$J$38,'Transactions'!$C$36:$C$38,B16)</x:f>
        <x:v>0</x:v>
      </x:c>
      <x:c r="H16" s="53" t="n">
        <x:f>F16+G16</x:f>
        <x:v>0</x:v>
      </x:c>
      <x:c r="I16" s="43" t="n">
        <x:f>SUMIFS('Transactions'!$K$24:$K$29,'Transactions'!$C$24:$C$29,B16)+SUMIFS('Transactions'!$K$36:$K$38,'Transactions'!$C$36:$C$38,B16)</x:f>
        <x:v>250</x:v>
      </x:c>
      <x:c r="J16" s="58" t="n">
        <x:f>(E16-H16)/E15-1</x:f>
        <x:v>-0.0004827964048995659</x:v>
      </x:c>
      <x:c r="K16" s="58" t="n">
        <x:f>(E16-H16+I16)/E15-1</x:f>
        <x:v>-0.00024691411411059683</x:v>
      </x:c>
      <x:c r="L16" s="58" t="n">
        <x:f>(D16-F16)/D15-1</x:f>
        <x:v>0.006069267914298182</x:v>
      </x:c>
      <x:c r="M16" s="54" t="n">
        <x:v>-0.0004828</x:v>
      </x:c>
      <x:c r="N16" s="47" t="n">
        <x:f>(J16-M16)*10000</x:f>
        <x:v>0.00003595100434147444</x:v>
      </x:c>
      <x:c r="O16" s="58" t="n">
        <x:f>(D16-H16)/D15-1</x:f>
        <x:v>0.006069267914298182</x:v>
      </x:c>
      <x:c r="P16" s="59" t="n">
        <x:f>P15*(1+J16)</x:f>
        <x:v>1.009153022156948</x:v>
      </x:c>
      <x:c r="Q16" s="57" t="n">
        <x:f>(1+'PGIM Returns'!$C$28)^((DATEVALUE(B16)-DATEVALUE($B$10))/365)</x:f>
        <x:v>1.0037598032407407</x:v>
      </x:c>
      <x:c r="R16" s="38"/>
      <x:c r="S16" s="38"/>
      <x:c r="T16" s="38"/>
      <x:c r="U16" s="38"/>
    </x:row>
    <x:row r="17" ht="23" customHeight="1">
      <x:c r="A17" s="38"/>
      <x:c r="B17" s="38"/>
      <x:c r="C17" s="38"/>
      <x:c r="D17" s="38"/>
      <x:c r="E17" s="38"/>
      <x:c r="F17" s="38"/>
      <x:c r="G17" s="38"/>
      <x:c r="H17" s="38"/>
      <x:c r="I17" s="38"/>
      <x:c r="J17" s="38"/>
      <x:c r="K17" s="38"/>
      <x:c r="L17" s="38"/>
      <x:c r="M17" s="38"/>
      <x:c r="N17" s="38"/>
      <x:c r="O17" s="38"/>
      <x:c r="P17" s="38"/>
      <x:c r="Q17" s="38"/>
      <x:c r="R17" s="38"/>
      <x:c r="S17" s="38"/>
      <x:c r="T17" s="38"/>
      <x:c r="U17" s="38"/>
    </x:row>
    <x:row r="18" ht="23" customHeight="1">
      <x:c r="A18" s="38"/>
      <x:c r="B18" s="38"/>
      <x:c r="C18" s="38"/>
      <x:c r="D18" s="38"/>
      <x:c r="E18" s="38"/>
      <x:c r="F18" s="38"/>
      <x:c r="G18" s="38"/>
      <x:c r="H18" s="38"/>
      <x:c r="I18" s="38"/>
      <x:c r="J18" s="38"/>
      <x:c r="K18" s="38"/>
      <x:c r="L18" s="38"/>
      <x:c r="M18" s="38"/>
      <x:c r="N18" s="38"/>
      <x:c r="O18" s="38"/>
      <x:c r="P18" s="38"/>
      <x:c r="Q18" s="38"/>
      <x:c r="R18" s="38"/>
      <x:c r="S18" s="38"/>
      <x:c r="T18" s="38"/>
      <x:c r="U18" s="38"/>
    </x:row>
    <x:row r="19" ht="23" customHeight="1">
      <x:c r="A19" s="38"/>
      <x:c r="B19" s="38"/>
      <x:c r="C19" s="38"/>
      <x:c r="D19" s="38"/>
      <x:c r="E19" s="38"/>
      <x:c r="F19" s="38"/>
      <x:c r="G19" s="38"/>
      <x:c r="H19" s="38"/>
      <x:c r="I19" s="38"/>
      <x:c r="J19" s="38"/>
      <x:c r="K19" s="38"/>
      <x:c r="L19" s="38"/>
      <x:c r="M19" s="38"/>
      <x:c r="N19" s="38"/>
      <x:c r="O19" s="38"/>
      <x:c r="P19" s="38"/>
      <x:c r="Q19" s="38"/>
      <x:c r="R19" s="38"/>
      <x:c r="S19" s="38"/>
      <x:c r="T19" s="38"/>
      <x:c r="U19" s="38"/>
    </x:row>
    <x:row r="20" ht="34" customHeight="1">
      <x:c r="A20" s="38"/>
      <x:c r="B20" s="41" t="str">
        <x:v>Quarter measure</x:v>
      </x:c>
      <x:c r="C20" s="41" t="str">
        <x:v>Result</x:v>
      </x:c>
      <x:c r="D20" s="38"/>
      <x:c r="E20" s="38"/>
      <x:c r="F20" s="38"/>
      <x:c r="G20" s="38"/>
      <x:c r="H20" s="38"/>
      <x:c r="I20" s="38"/>
      <x:c r="J20" s="38"/>
      <x:c r="K20" s="38"/>
      <x:c r="L20" s="38"/>
      <x:c r="M20" s="38"/>
      <x:c r="N20" s="38"/>
      <x:c r="O20" s="38"/>
      <x:c r="P20" s="38"/>
      <x:c r="Q20" s="38"/>
      <x:c r="R20" s="38"/>
      <x:c r="S20" s="38"/>
      <x:c r="T20" s="38"/>
      <x:c r="U20" s="38"/>
    </x:row>
    <x:row r="21" ht="36" customHeight="1">
      <x:c r="A21" s="38"/>
      <x:c r="B21" s="49" t="str">
        <x:v>Net time-weighted return</x:v>
      </x:c>
      <x:c r="C21" s="58" t="n">
        <x:f>P16-1</x:f>
        <x:v>0.00915302215694802</x:v>
      </x:c>
      <x:c r="D21" s="38"/>
      <x:c r="E21" s="38"/>
      <x:c r="F21" s="38"/>
      <x:c r="G21" s="38"/>
      <x:c r="H21" s="38"/>
      <x:c r="I21" s="38"/>
      <x:c r="J21" s="38"/>
      <x:c r="K21" s="38"/>
      <x:c r="L21" s="38"/>
      <x:c r="M21" s="38"/>
      <x:c r="N21" s="38"/>
      <x:c r="O21" s="38"/>
      <x:c r="P21" s="38"/>
      <x:c r="Q21" s="38"/>
      <x:c r="R21" s="38"/>
      <x:c r="S21" s="38"/>
      <x:c r="T21" s="38"/>
      <x:c r="U21" s="38"/>
    </x:row>
    <x:row r="22" ht="36" customHeight="1">
      <x:c r="A22" s="38"/>
      <x:c r="B22" s="49" t="str">
        <x:v>Gross time-weighted return</x:v>
      </x:c>
      <x:c r="C22" s="58" t="n">
        <x:f>(1+K11)*(1+K12)*(1+K13)*(1+K14)*(1+K15)*(1+K16)-1</x:f>
        <x:v>0.009869729316493103</x:v>
      </x:c>
      <x:c r="D22" s="38"/>
      <x:c r="E22" s="38"/>
      <x:c r="F22" s="38"/>
      <x:c r="G22" s="38"/>
      <x:c r="H22" s="38"/>
      <x:c r="I22" s="38"/>
      <x:c r="J22" s="38"/>
      <x:c r="K22" s="38"/>
      <x:c r="L22" s="38"/>
      <x:c r="M22" s="38"/>
      <x:c r="N22" s="38"/>
      <x:c r="O22" s="38"/>
      <x:c r="P22" s="38"/>
      <x:c r="Q22" s="38"/>
      <x:c r="R22" s="38"/>
      <x:c r="S22" s="38"/>
      <x:c r="T22" s="38"/>
      <x:c r="U22" s="38"/>
    </x:row>
    <x:row r="23" ht="36" customHeight="1">
      <x:c r="A23" s="38"/>
      <x:c r="B23" s="49" t="str">
        <x:v>Unreconciled return</x:v>
      </x:c>
      <x:c r="C23" s="58" t="n">
        <x:f>(1+L11)*(1+L12)*(1+L13)*(1+L14)*(1+L15)*(1+L16)-1</x:f>
        <x:v>0.11634343742961573</x:v>
      </x:c>
      <x:c r="D23" s="38"/>
      <x:c r="E23" s="38"/>
      <x:c r="F23" s="38"/>
      <x:c r="G23" s="38"/>
      <x:c r="H23" s="38"/>
      <x:c r="I23" s="38"/>
      <x:c r="J23" s="38"/>
      <x:c r="K23" s="38"/>
      <x:c r="L23" s="38"/>
      <x:c r="M23" s="38"/>
      <x:c r="N23" s="38"/>
      <x:c r="O23" s="38"/>
      <x:c r="P23" s="38"/>
      <x:c r="Q23" s="38"/>
      <x:c r="R23" s="38"/>
      <x:c r="S23" s="38"/>
      <x:c r="T23" s="38"/>
      <x:c r="U23" s="38"/>
    </x:row>
    <x:row r="24" ht="36" customHeight="1">
      <x:c r="A24" s="38"/>
      <x:c r="B24" s="49" t="str">
        <x:v>After flow reclassification only</x:v>
      </x:c>
      <x:c r="C24" s="58" t="n">
        <x:f>(1+O11)*(1+O12)*(1+O13)*(1+O14)*(1+O15)*(1+O16)-1</x:f>
        <x:v>0.015547013252342534</x:v>
      </x:c>
      <x:c r="D24" s="38"/>
      <x:c r="E24" s="38"/>
      <x:c r="F24" s="38"/>
      <x:c r="G24" s="38"/>
      <x:c r="H24" s="38"/>
      <x:c r="I24" s="38"/>
      <x:c r="J24" s="38"/>
      <x:c r="K24" s="38"/>
      <x:c r="L24" s="38"/>
      <x:c r="M24" s="38"/>
      <x:c r="N24" s="38"/>
      <x:c r="O24" s="38"/>
      <x:c r="P24" s="38"/>
      <x:c r="Q24" s="38"/>
      <x:c r="R24" s="38"/>
      <x:c r="S24" s="38"/>
      <x:c r="T24" s="38"/>
      <x:c r="U24" s="38"/>
    </x:row>
    <x:row r="25" ht="36" customHeight="1">
      <x:c r="A25" s="38"/>
      <x:c r="B25" s="49" t="str">
        <x:v>Assumed quarterly hurdle</x:v>
      </x:c>
      <x:c r="C25" s="58" t="n">
        <x:f>Q16-1</x:f>
        <x:v>0.003759796531345394</x:v>
      </x:c>
      <x:c r="D25" s="38"/>
      <x:c r="E25" s="38"/>
      <x:c r="F25" s="38"/>
      <x:c r="G25" s="38"/>
      <x:c r="H25" s="38"/>
      <x:c r="I25" s="38"/>
      <x:c r="J25" s="38"/>
      <x:c r="K25" s="38"/>
      <x:c r="L25" s="38"/>
      <x:c r="M25" s="38"/>
      <x:c r="N25" s="38"/>
      <x:c r="O25" s="38"/>
      <x:c r="P25" s="38"/>
      <x:c r="Q25" s="38"/>
      <x:c r="R25" s="38"/>
      <x:c r="S25" s="38"/>
      <x:c r="T25" s="38"/>
      <x:c r="U25" s="38"/>
    </x:row>
    <x:row r="26" ht="36" customHeight="1">
      <x:c r="A26" s="38"/>
      <x:c r="B26" s="49" t="str">
        <x:v>Net return less hurdle</x:v>
      </x:c>
      <x:c r="C26" s="58" t="n">
        <x:f>C21-C25</x:f>
        <x:v>0.005393225625602627</x:v>
      </x:c>
      <x:c r="D26" s="38"/>
      <x:c r="E26" s="38"/>
      <x:c r="F26" s="38"/>
      <x:c r="G26" s="38"/>
      <x:c r="H26" s="38"/>
      <x:c r="I26" s="38"/>
      <x:c r="J26" s="38"/>
      <x:c r="K26" s="38"/>
      <x:c r="L26" s="38"/>
      <x:c r="M26" s="38"/>
      <x:c r="N26" s="38"/>
      <x:c r="O26" s="38"/>
      <x:c r="P26" s="38"/>
      <x:c r="Q26" s="38"/>
      <x:c r="R26" s="38"/>
      <x:c r="S26" s="38"/>
      <x:c r="T26" s="38"/>
      <x:c r="U26" s="38"/>
    </x:row>
    <x:row r="27" ht="36" customHeight="1">
      <x:c r="A27" s="38"/>
      <x:c r="B27" s="49" t="str">
        <x:v>Net investment gain</x:v>
      </x:c>
      <x:c r="C27" s="53" t="n">
        <x:f>E16-E10-SUM(H11:H16)</x:f>
        <x:v>9338.961237818468</x:v>
      </x:c>
      <x:c r="D27" s="38"/>
      <x:c r="E27" s="38"/>
      <x:c r="F27" s="38"/>
      <x:c r="G27" s="38"/>
      <x:c r="H27" s="38"/>
      <x:c r="I27" s="38"/>
      <x:c r="J27" s="38"/>
      <x:c r="K27" s="38"/>
      <x:c r="L27" s="38"/>
      <x:c r="M27" s="38"/>
      <x:c r="N27" s="38"/>
      <x:c r="O27" s="38"/>
      <x:c r="P27" s="38"/>
      <x:c r="Q27" s="38"/>
      <x:c r="R27" s="38"/>
      <x:c r="S27" s="38"/>
      <x:c r="T27" s="38"/>
      <x:c r="U27" s="38"/>
    </x:row>
    <x:row r="28" ht="36" customHeight="1">
      <x:c r="A28" s="38"/>
      <x:c r="B28" s="49" t="str">
        <x:v>Fees</x:v>
      </x:c>
      <x:c r="C28" s="53" t="n">
        <x:f>SUM(I11:I16)</x:f>
        <x:v>750</x:v>
      </x:c>
      <x:c r="D28" s="38"/>
      <x:c r="E28" s="38"/>
      <x:c r="F28" s="38"/>
      <x:c r="G28" s="38"/>
      <x:c r="H28" s="38"/>
      <x:c r="I28" s="38"/>
      <x:c r="J28" s="38"/>
      <x:c r="K28" s="38"/>
      <x:c r="L28" s="38"/>
      <x:c r="M28" s="38"/>
      <x:c r="N28" s="38"/>
      <x:c r="O28" s="38"/>
      <x:c r="P28" s="38"/>
      <x:c r="Q28" s="38"/>
      <x:c r="R28" s="38"/>
      <x:c r="S28" s="38"/>
      <x:c r="T28" s="38"/>
      <x:c r="U28" s="38"/>
    </x:row>
    <x:row r="29" ht="36" customHeight="1">
      <x:c r="A29" s="38"/>
      <x:c r="B29" s="49" t="str">
        <x:v>Gross investment gain</x:v>
      </x:c>
      <x:c r="C29" s="53" t="n">
        <x:f>C27+C28</x:f>
        <x:v>10088.961237818468</x:v>
      </x:c>
      <x:c r="D29" s="38"/>
      <x:c r="E29" s="38"/>
      <x:c r="F29" s="38"/>
      <x:c r="G29" s="38"/>
      <x:c r="H29" s="38"/>
      <x:c r="I29" s="38"/>
      <x:c r="J29" s="38"/>
      <x:c r="K29" s="38"/>
      <x:c r="L29" s="38"/>
      <x:c r="M29" s="38"/>
      <x:c r="N29" s="38"/>
      <x:c r="O29" s="38"/>
      <x:c r="P29" s="38"/>
      <x:c r="Q29" s="38"/>
      <x:c r="R29" s="38"/>
      <x:c r="S29" s="38"/>
      <x:c r="T29" s="38"/>
      <x:c r="U29" s="38"/>
    </x:row>
    <x:row r="30" ht="23" customHeight="1">
      <x:c r="A30" s="38"/>
      <x:c r="B30" s="38"/>
      <x:c r="C30" s="38"/>
      <x:c r="D30" s="38"/>
      <x:c r="E30" s="38"/>
      <x:c r="F30" s="38"/>
      <x:c r="G30" s="38"/>
      <x:c r="H30" s="38"/>
      <x:c r="I30" s="38"/>
      <x:c r="J30" s="38"/>
      <x:c r="K30" s="38"/>
      <x:c r="L30" s="38"/>
      <x:c r="M30" s="38"/>
      <x:c r="N30" s="38"/>
      <x:c r="O30" s="38"/>
      <x:c r="P30" s="38"/>
      <x:c r="Q30" s="38"/>
      <x:c r="R30" s="38"/>
      <x:c r="S30" s="38"/>
      <x:c r="T30" s="38"/>
      <x:c r="U30" s="38"/>
    </x:row>
    <x:row r="31" ht="23" customHeight="1">
      <x:c r="A31" s="38"/>
      <x:c r="B31" s="38"/>
      <x:c r="C31" s="38"/>
      <x:c r="D31" s="38"/>
      <x:c r="E31" s="38"/>
      <x:c r="F31" s="38"/>
      <x:c r="G31" s="38"/>
      <x:c r="H31" s="38"/>
      <x:c r="I31" s="38"/>
      <x:c r="J31" s="38"/>
      <x:c r="K31" s="38"/>
      <x:c r="L31" s="38"/>
      <x:c r="M31" s="38"/>
      <x:c r="N31" s="38"/>
      <x:c r="O31" s="38"/>
      <x:c r="P31" s="38"/>
      <x:c r="Q31" s="38"/>
      <x:c r="R31" s="38"/>
      <x:c r="S31" s="38"/>
      <x:c r="T31" s="38"/>
      <x:c r="U31" s="38"/>
    </x:row>
    <x:row r="32" ht="50" customHeight="1">
      <x:c r="A32" s="38"/>
      <x:c r="B32" s="40" t="str">
        <x:v>Net TWR = geometrically linked (ending NAV − external flow) / prior NAV − 1. Gross adds the period fee back to ending NAV. Purchases and sales are internal movements, not external cash flows.</x:v>
      </x:c>
      <x:c r="C32" s="40"/>
      <x:c r="D32" s="40"/>
      <x:c r="E32" s="40"/>
      <x:c r="F32" s="40"/>
      <x:c r="G32" s="40"/>
      <x:c r="H32" s="40"/>
      <x:c r="I32" s="40"/>
      <x:c r="J32" s="40"/>
      <x:c r="K32" s="40"/>
      <x:c r="L32" s="40"/>
      <x:c r="M32" s="40"/>
      <x:c r="N32" s="38"/>
      <x:c r="O32" s="38"/>
      <x:c r="P32" s="38"/>
      <x:c r="Q32" s="38"/>
      <x:c r="R32" s="38"/>
      <x:c r="S32" s="38"/>
      <x:c r="T32" s="38"/>
      <x:c r="U32" s="38"/>
    </x:row>
    <x:row r="33" ht="23" customHeight="1">
      <x:c r="A33" s="38"/>
      <x:c r="B33" s="38"/>
      <x:c r="C33" s="38"/>
      <x:c r="D33" s="38"/>
      <x:c r="E33" s="38"/>
      <x:c r="F33" s="38"/>
      <x:c r="G33" s="38"/>
      <x:c r="H33" s="38"/>
      <x:c r="I33" s="38"/>
      <x:c r="J33" s="38"/>
      <x:c r="K33" s="38"/>
      <x:c r="L33" s="38"/>
      <x:c r="M33" s="38"/>
      <x:c r="N33" s="38"/>
      <x:c r="O33" s="38"/>
      <x:c r="P33" s="38"/>
      <x:c r="Q33" s="38"/>
      <x:c r="R33" s="38"/>
      <x:c r="S33" s="38"/>
      <x:c r="T33" s="38"/>
      <x:c r="U33" s="38"/>
    </x:row>
    <x:row r="34" ht="48" customHeight="1">
      <x:c r="A34" s="38"/>
      <x:c r="B34" s="40" t="str">
        <x:v>Statement subperiod returns are an independent reference rounded to eight decimal places. Return differences below 0.001 basis point reflect rounding. The correction bridge is sequential and order-dependent.</x:v>
      </x:c>
      <x:c r="C34" s="40"/>
      <x:c r="D34" s="40"/>
      <x:c r="E34" s="40"/>
      <x:c r="F34" s="40"/>
      <x:c r="G34" s="40"/>
      <x:c r="H34" s="40"/>
      <x:c r="I34" s="40"/>
      <x:c r="J34" s="40"/>
      <x:c r="K34" s="40"/>
      <x:c r="L34" s="40"/>
      <x:c r="M34" s="40"/>
      <x:c r="N34" s="38"/>
      <x:c r="O34" s="38"/>
      <x:c r="P34" s="38"/>
      <x:c r="Q34" s="38"/>
      <x:c r="R34" s="38"/>
      <x:c r="S34" s="38"/>
      <x:c r="T34" s="38"/>
      <x:c r="U34" s="38"/>
    </x:row>
    <x:row r="35" ht="23" customHeight="1">
      <x:c r="A35" s="38"/>
      <x:c r="B35" s="38"/>
      <x:c r="C35" s="38"/>
      <x:c r="D35" s="38"/>
      <x:c r="E35" s="38"/>
      <x:c r="F35" s="38"/>
      <x:c r="G35" s="38"/>
      <x:c r="H35" s="38"/>
      <x:c r="I35" s="38"/>
      <x:c r="J35" s="38"/>
      <x:c r="K35" s="38"/>
      <x:c r="L35" s="38"/>
      <x:c r="M35" s="38"/>
      <x:c r="N35" s="38"/>
      <x:c r="O35" s="38"/>
      <x:c r="P35" s="38"/>
      <x:c r="Q35" s="38"/>
      <x:c r="R35" s="38"/>
      <x:c r="S35" s="38"/>
      <x:c r="T35" s="38"/>
      <x:c r="U35" s="38"/>
    </x:row>
    <x:row r="36" ht="23" customHeight="1">
      <x:c r="A36" s="38"/>
      <x:c r="B36" s="38"/>
      <x:c r="C36" s="38"/>
      <x:c r="D36" s="38"/>
      <x:c r="E36" s="38"/>
      <x:c r="F36" s="38"/>
      <x:c r="G36" s="38"/>
      <x:c r="H36" s="38"/>
      <x:c r="I36" s="38"/>
      <x:c r="J36" s="38"/>
      <x:c r="K36" s="38"/>
      <x:c r="L36" s="38"/>
      <x:c r="M36" s="38"/>
      <x:c r="N36" s="38"/>
      <x:c r="O36" s="38"/>
      <x:c r="P36" s="38"/>
      <x:c r="Q36" s="38"/>
      <x:c r="R36" s="38"/>
      <x:c r="S36" s="38"/>
      <x:c r="T36" s="38"/>
      <x:c r="U36" s="38"/>
    </x:row>
    <x:row r="37" ht="34" customHeight="1">
      <x:c r="A37" s="38"/>
      <x:c r="B37" s="67" t="str">
        <x:v>Money-weighted return and dated cash flows</x:v>
      </x:c>
      <x:c r="C37" s="67"/>
      <x:c r="D37" s="67"/>
      <x:c r="E37" s="67"/>
      <x:c r="F37" s="67"/>
      <x:c r="G37" s="67"/>
      <x:c r="H37" s="67"/>
      <x:c r="I37" s="38"/>
      <x:c r="J37" s="38"/>
      <x:c r="K37" s="38"/>
      <x:c r="L37" s="38"/>
      <x:c r="M37" s="38"/>
      <x:c r="N37" s="38"/>
      <x:c r="O37" s="38"/>
      <x:c r="P37" s="38"/>
      <x:c r="Q37" s="38"/>
      <x:c r="R37" s="38"/>
      <x:c r="S37" s="38"/>
      <x:c r="T37" s="38"/>
      <x:c r="U37" s="38"/>
    </x:row>
    <x:row r="38" ht="34" customHeight="1">
      <x:c r="A38" s="38"/>
      <x:c r="B38" s="67"/>
      <x:c r="C38" s="67"/>
      <x:c r="D38" s="67"/>
      <x:c r="E38" s="67"/>
      <x:c r="F38" s="67"/>
      <x:c r="G38" s="67"/>
      <x:c r="H38" s="67"/>
      <x:c r="I38" s="38"/>
      <x:c r="J38" s="38"/>
      <x:c r="K38" s="38"/>
      <x:c r="L38" s="38"/>
      <x:c r="M38" s="38"/>
      <x:c r="N38" s="38"/>
      <x:c r="O38" s="38"/>
      <x:c r="P38" s="38"/>
      <x:c r="Q38" s="38"/>
      <x:c r="R38" s="38"/>
      <x:c r="S38" s="38"/>
      <x:c r="T38" s="38"/>
      <x:c r="U38" s="38"/>
    </x:row>
    <x:row r="39" ht="30" customHeight="1">
      <x:c r="A39" s="38"/>
      <x:c r="B39" s="40" t="str">
        <x:v>Q4 2021 | Net of account fees | Investor cash-flow perspective</x:v>
      </x:c>
      <x:c r="C39" s="40"/>
      <x:c r="D39" s="40"/>
      <x:c r="E39" s="40"/>
      <x:c r="F39" s="40"/>
      <x:c r="G39" s="40"/>
      <x:c r="H39" s="40"/>
      <x:c r="I39" s="38"/>
      <x:c r="J39" s="38"/>
      <x:c r="K39" s="38"/>
      <x:c r="L39" s="38"/>
      <x:c r="M39" s="38"/>
      <x:c r="N39" s="38"/>
      <x:c r="O39" s="38"/>
      <x:c r="P39" s="38"/>
      <x:c r="Q39" s="38"/>
      <x:c r="R39" s="38"/>
      <x:c r="S39" s="38"/>
      <x:c r="T39" s="38"/>
      <x:c r="U39" s="38"/>
    </x:row>
    <x:row r="40" ht="26" customHeight="1">
      <x:c r="A40" s="38"/>
      <x:c r="B40" s="64"/>
      <x:c r="C40" s="64"/>
      <x:c r="D40" s="64"/>
      <x:c r="E40" s="64"/>
      <x:c r="F40" s="64"/>
      <x:c r="G40" s="64"/>
      <x:c r="H40" s="64"/>
      <x:c r="I40" s="38"/>
      <x:c r="J40" s="38"/>
      <x:c r="K40" s="38"/>
      <x:c r="L40" s="38"/>
      <x:c r="M40" s="38"/>
      <x:c r="N40" s="38"/>
      <x:c r="O40" s="38"/>
      <x:c r="P40" s="38"/>
      <x:c r="Q40" s="38"/>
      <x:c r="R40" s="38"/>
      <x:c r="S40" s="38"/>
      <x:c r="T40" s="38"/>
      <x:c r="U40" s="38"/>
    </x:row>
    <x:row r="41" ht="34" customHeight="1">
      <x:c r="A41" s="38"/>
      <x:c r="B41" s="67" t="str">
        <x:v>Date</x:v>
      </x:c>
      <x:c r="C41" s="67" t="str">
        <x:v>Investor cash flow</x:v>
      </x:c>
      <x:c r="D41" s="67" t="str">
        <x:v>Description</x:v>
      </x:c>
      <x:c r="E41" s="67"/>
      <x:c r="F41" s="67"/>
      <x:c r="G41" s="67"/>
      <x:c r="H41" s="67"/>
      <x:c r="I41" s="38"/>
      <x:c r="J41" s="38"/>
      <x:c r="K41" s="38"/>
      <x:c r="L41" s="38"/>
      <x:c r="M41" s="38"/>
      <x:c r="N41" s="38"/>
      <x:c r="O41" s="38"/>
      <x:c r="P41" s="38"/>
      <x:c r="Q41" s="38"/>
      <x:c r="R41" s="38"/>
      <x:c r="S41" s="38"/>
      <x:c r="T41" s="38"/>
      <x:c r="U41" s="38"/>
    </x:row>
    <x:row r="42" ht="26" customHeight="1">
      <x:c r="A42" s="38"/>
      <x:c r="B42" s="69" t="n">
        <x:f>DATEVALUE(B10)</x:f>
        <x:v>44469</x:v>
      </x:c>
      <x:c r="C42" s="70" t="n">
        <x:f>-E10</x:f>
        <x:v>-1000000</x:v>
      </x:c>
      <x:c r="D42" s="64" t="str">
        <x:v>Opening account value</x:v>
      </x:c>
      <x:c r="E42" s="64"/>
      <x:c r="F42" s="64"/>
      <x:c r="G42" s="64"/>
      <x:c r="H42" s="64"/>
      <x:c r="I42" s="38"/>
      <x:c r="J42" s="38"/>
      <x:c r="K42" s="38"/>
      <x:c r="L42" s="38"/>
      <x:c r="M42" s="38"/>
      <x:c r="N42" s="38"/>
      <x:c r="O42" s="38"/>
      <x:c r="P42" s="38"/>
      <x:c r="Q42" s="38"/>
      <x:c r="R42" s="38"/>
      <x:c r="S42" s="38"/>
      <x:c r="T42" s="38"/>
      <x:c r="U42" s="38"/>
    </x:row>
    <x:row r="43" ht="26" customHeight="1">
      <x:c r="A43" s="38"/>
      <x:c r="B43" s="69" t="n">
        <x:f>DATEVALUE(B13)</x:f>
        <x:v>44515</x:v>
      </x:c>
      <x:c r="C43" s="70" t="n">
        <x:f>-H13</x:f>
        <x:v>-100000</x:v>
      </x:c>
      <x:c r="D43" s="64" t="str">
        <x:v>External contribution</x:v>
      </x:c>
      <x:c r="E43" s="64"/>
      <x:c r="F43" s="64"/>
      <x:c r="G43" s="64"/>
      <x:c r="H43" s="64"/>
      <x:c r="I43" s="38"/>
      <x:c r="J43" s="38"/>
      <x:c r="K43" s="38"/>
      <x:c r="L43" s="38"/>
      <x:c r="M43" s="38"/>
      <x:c r="N43" s="38"/>
      <x:c r="O43" s="38"/>
      <x:c r="P43" s="38"/>
      <x:c r="Q43" s="38"/>
      <x:c r="R43" s="38"/>
      <x:c r="S43" s="38"/>
      <x:c r="T43" s="38"/>
      <x:c r="U43" s="38"/>
    </x:row>
    <x:row r="44" ht="26" customHeight="1">
      <x:c r="A44" s="38"/>
      <x:c r="B44" s="69" t="n">
        <x:f>DATEVALUE(B15)</x:f>
        <x:v>44545</x:v>
      </x:c>
      <x:c r="C44" s="70" t="n">
        <x:f>-H15</x:f>
        <x:v>50000</x:v>
      </x:c>
      <x:c r="D44" s="64" t="str">
        <x:v>External withdrawal</x:v>
      </x:c>
      <x:c r="E44" s="64"/>
      <x:c r="F44" s="64"/>
      <x:c r="G44" s="64"/>
      <x:c r="H44" s="64"/>
      <x:c r="I44" s="38"/>
      <x:c r="J44" s="38"/>
      <x:c r="K44" s="38"/>
      <x:c r="L44" s="38"/>
      <x:c r="M44" s="38"/>
      <x:c r="N44" s="38"/>
      <x:c r="O44" s="38"/>
      <x:c r="P44" s="38"/>
      <x:c r="Q44" s="38"/>
      <x:c r="R44" s="38"/>
      <x:c r="S44" s="38"/>
      <x:c r="T44" s="38"/>
      <x:c r="U44" s="38"/>
    </x:row>
    <x:row r="45" ht="26" customHeight="1">
      <x:c r="A45" s="38"/>
      <x:c r="B45" s="69" t="n">
        <x:f>DATEVALUE(B16)</x:f>
        <x:v>44561</x:v>
      </x:c>
      <x:c r="C45" s="70" t="n">
        <x:f>E16</x:f>
        <x:v>1059338.9612378185</x:v>
      </x:c>
      <x:c r="D45" s="64" t="str">
        <x:v>Closing account value (assumed liquidation)</x:v>
      </x:c>
      <x:c r="E45" s="64"/>
      <x:c r="F45" s="64"/>
      <x:c r="G45" s="64"/>
      <x:c r="H45" s="64"/>
      <x:c r="I45" s="38"/>
      <x:c r="J45" s="38"/>
      <x:c r="K45" s="38"/>
      <x:c r="L45" s="38"/>
      <x:c r="M45" s="38"/>
      <x:c r="N45" s="38"/>
      <x:c r="O45" s="38"/>
      <x:c r="P45" s="38"/>
      <x:c r="Q45" s="38"/>
      <x:c r="R45" s="38"/>
      <x:c r="S45" s="38"/>
      <x:c r="T45" s="38"/>
      <x:c r="U45" s="38"/>
    </x:row>
    <x:row r="46" ht="26" customHeight="1">
      <x:c r="A46" s="38"/>
      <x:c r="B46" s="64"/>
      <x:c r="C46" s="64"/>
      <x:c r="D46" s="64"/>
      <x:c r="E46" s="64"/>
      <x:c r="F46" s="64"/>
      <x:c r="G46" s="64"/>
      <x:c r="H46" s="64"/>
      <x:c r="I46" s="38"/>
      <x:c r="J46" s="38"/>
      <x:c r="K46" s="38"/>
      <x:c r="L46" s="38"/>
      <x:c r="M46" s="38"/>
      <x:c r="N46" s="38"/>
      <x:c r="O46" s="38"/>
      <x:c r="P46" s="38"/>
      <x:c r="Q46" s="38"/>
      <x:c r="R46" s="38"/>
      <x:c r="S46" s="38"/>
      <x:c r="T46" s="38"/>
      <x:c r="U46" s="38"/>
    </x:row>
    <x:row r="47" ht="34" customHeight="1">
      <x:c r="A47" s="38"/>
      <x:c r="B47" s="67" t="str">
        <x:v>Return measure</x:v>
      </x:c>
      <x:c r="C47" s="67" t="str">
        <x:v>Result</x:v>
      </x:c>
      <x:c r="D47" s="67" t="str">
        <x:v>Interpretation</x:v>
      </x:c>
      <x:c r="E47" s="67"/>
      <x:c r="F47" s="67"/>
      <x:c r="G47" s="67"/>
      <x:c r="H47" s="67"/>
      <x:c r="I47" s="38"/>
      <x:c r="J47" s="38"/>
      <x:c r="K47" s="38"/>
      <x:c r="L47" s="38"/>
      <x:c r="M47" s="38"/>
      <x:c r="N47" s="38"/>
      <x:c r="O47" s="38"/>
      <x:c r="P47" s="38"/>
      <x:c r="Q47" s="38"/>
      <x:c r="R47" s="38"/>
      <x:c r="S47" s="38"/>
      <x:c r="T47" s="38"/>
      <x:c r="U47" s="38"/>
    </x:row>
    <x:row r="48" ht="44" customHeight="1">
      <x:c r="A48" s="38"/>
      <x:c r="B48" s="71" t="str">
        <x:v>Annualized net XIRR</x:v>
      </x:c>
      <x:c r="C48" s="72" t="n">
        <x:f>XIRR(C42:C45,B42:B45)</x:f>
        <x:v>0.03606068947939789</x:v>
      </x:c>
      <x:c r="D48" s="71" t="str">
        <x:v>Annual rate returned by Excel XIRR.</x:v>
      </x:c>
      <x:c r="E48" s="71"/>
      <x:c r="F48" s="71"/>
      <x:c r="G48" s="71"/>
      <x:c r="H48" s="71"/>
      <x:c r="I48" s="38"/>
      <x:c r="J48" s="38"/>
      <x:c r="K48" s="38"/>
      <x:c r="L48" s="38"/>
      <x:c r="M48" s="38"/>
      <x:c r="N48" s="38"/>
      <x:c r="O48" s="38"/>
      <x:c r="P48" s="38"/>
      <x:c r="Q48" s="38"/>
      <x:c r="R48" s="38"/>
      <x:c r="S48" s="38"/>
      <x:c r="T48" s="38"/>
      <x:c r="U48" s="38"/>
    </x:row>
    <x:row r="49" ht="44" customHeight="1">
      <x:c r="A49" s="38"/>
      <x:c r="B49" s="71" t="str">
        <x:v>Period length in days</x:v>
      </x:c>
      <x:c r="C49" s="73" t="n">
        <x:f>B45-B42</x:f>
        <x:v>92</x:v>
      </x:c>
      <x:c r="D49" s="71" t="str">
        <x:v>Actual day count from September 30 to December 31.</x:v>
      </x:c>
      <x:c r="E49" s="71"/>
      <x:c r="F49" s="71"/>
      <x:c r="G49" s="71"/>
      <x:c r="H49" s="71"/>
      <x:c r="I49" s="38"/>
      <x:c r="J49" s="38"/>
      <x:c r="K49" s="38"/>
      <x:c r="L49" s="38"/>
      <x:c r="M49" s="38"/>
      <x:c r="N49" s="38"/>
      <x:c r="O49" s="38"/>
      <x:c r="P49" s="38"/>
      <x:c r="Q49" s="38"/>
      <x:c r="R49" s="38"/>
      <x:c r="S49" s="38"/>
      <x:c r="T49" s="38"/>
      <x:c r="U49" s="38"/>
    </x:row>
    <x:row r="50" ht="44" customHeight="1">
      <x:c r="A50" s="38"/>
      <x:c r="B50" s="71" t="str">
        <x:v>Quarterly net money-weighted return</x:v>
      </x:c>
      <x:c r="C50" s="72" t="n">
        <x:f>(1+C48)^(C49/365)-1</x:f>
        <x:v>0.008969207691264192</x:v>
      </x:c>
      <x:c r="D50" s="71" t="str">
        <x:v>Annualized XIRR converted to the 92-day reporting period.</x:v>
      </x:c>
      <x:c r="E50" s="71"/>
      <x:c r="F50" s="71"/>
      <x:c r="G50" s="71"/>
      <x:c r="H50" s="71"/>
      <x:c r="I50" s="38"/>
      <x:c r="J50" s="38"/>
      <x:c r="K50" s="38"/>
      <x:c r="L50" s="38"/>
      <x:c r="M50" s="38"/>
      <x:c r="N50" s="38"/>
      <x:c r="O50" s="38"/>
      <x:c r="P50" s="38"/>
      <x:c r="Q50" s="38"/>
      <x:c r="R50" s="38"/>
      <x:c r="S50" s="38"/>
      <x:c r="T50" s="38"/>
      <x:c r="U50" s="38"/>
    </x:row>
    <x:row r="51" ht="44" customHeight="1">
      <x:c r="A51" s="38"/>
      <x:c r="B51" s="71" t="str">
        <x:v>Quarterly net time-weighted return</x:v>
      </x:c>
      <x:c r="C51" s="72" t="n">
        <x:f>C21</x:f>
        <x:v>0.00915302215694802</x:v>
      </x:c>
      <x:c r="D51" s="71" t="str">
        <x:v>Existing geometrically linked net return.</x:v>
      </x:c>
      <x:c r="E51" s="71"/>
      <x:c r="F51" s="71"/>
      <x:c r="G51" s="71"/>
      <x:c r="H51" s="71"/>
      <x:c r="I51" s="38"/>
      <x:c r="J51" s="38"/>
      <x:c r="K51" s="38"/>
      <x:c r="L51" s="38"/>
      <x:c r="M51" s="38"/>
      <x:c r="N51" s="38"/>
      <x:c r="O51" s="38"/>
      <x:c r="P51" s="38"/>
      <x:c r="Q51" s="38"/>
      <x:c r="R51" s="38"/>
      <x:c r="S51" s="38"/>
      <x:c r="T51" s="38"/>
      <x:c r="U51" s="38"/>
    </x:row>
    <x:row r="52" ht="44" customHeight="1">
      <x:c r="A52" s="38"/>
      <x:c r="B52" s="71" t="str">
        <x:v>MWR less TWR (basis points)</x:v>
      </x:c>
      <x:c r="C52" s="74" t="n">
        <x:f>(C50-C51)*10000</x:f>
        <x:v>-1.838144656838292</x:v>
      </x:c>
      <x:c r="D52" s="71" t="str">
        <x:v>Same-period comparison of the two return measures.</x:v>
      </x:c>
      <x:c r="E52" s="71"/>
      <x:c r="F52" s="71"/>
      <x:c r="G52" s="71"/>
      <x:c r="H52" s="71"/>
      <x:c r="I52" s="38"/>
      <x:c r="J52" s="38"/>
      <x:c r="K52" s="38"/>
      <x:c r="L52" s="38"/>
      <x:c r="M52" s="38"/>
      <x:c r="N52" s="38"/>
      <x:c r="O52" s="38"/>
      <x:c r="P52" s="38"/>
      <x:c r="Q52" s="38"/>
      <x:c r="R52" s="38"/>
      <x:c r="S52" s="38"/>
      <x:c r="T52" s="38"/>
      <x:c r="U52" s="38"/>
    </x:row>
    <x:row r="53" ht="44" customHeight="1">
      <x:c r="A53" s="38"/>
      <x:c r="B53" s="71" t="str">
        <x:v>XNPV at calculated XIRR</x:v>
      </x:c>
      <x:c r="C53" s="75" t="n">
        <x:f>XNPV(C48,C42:C45,B42:B45)</x:f>
        <x:v>0</x:v>
      </x:c>
      <x:c r="D53" s="71" t="str">
        <x:v>Dollar residual should be within $0.01 of zero.</x:v>
      </x:c>
      <x:c r="E53" s="71"/>
      <x:c r="F53" s="71"/>
      <x:c r="G53" s="71"/>
      <x:c r="H53" s="71"/>
      <x:c r="I53" s="38"/>
      <x:c r="J53" s="38"/>
      <x:c r="K53" s="38"/>
      <x:c r="L53" s="38"/>
      <x:c r="M53" s="38"/>
      <x:c r="N53" s="38"/>
      <x:c r="O53" s="38"/>
      <x:c r="P53" s="38"/>
      <x:c r="Q53" s="38"/>
      <x:c r="R53" s="38"/>
      <x:c r="S53" s="38"/>
      <x:c r="T53" s="38"/>
      <x:c r="U53" s="38"/>
    </x:row>
    <x:row r="54" ht="44" customHeight="1">
      <x:c r="A54" s="38"/>
      <x:c r="B54" s="71" t="str">
        <x:v>Cash-flow bridge residual</x:v>
      </x:c>
      <x:c r="C54" s="75" t="n">
        <x:f>SUM(C42:C45)-C27</x:f>
        <x:v>0</x:v>
      </x:c>
      <x:c r="D54" s="71" t="str">
        <x:v>Investor net cash flows less account investment gain.</x:v>
      </x:c>
      <x:c r="E54" s="71"/>
      <x:c r="F54" s="71"/>
      <x:c r="G54" s="71"/>
      <x:c r="H54" s="71"/>
      <x:c r="I54" s="38"/>
      <x:c r="J54" s="38"/>
      <x:c r="K54" s="38"/>
      <x:c r="L54" s="38"/>
      <x:c r="M54" s="38"/>
      <x:c r="N54" s="38"/>
      <x:c r="O54" s="38"/>
      <x:c r="P54" s="38"/>
      <x:c r="Q54" s="38"/>
      <x:c r="R54" s="38"/>
      <x:c r="S54" s="38"/>
      <x:c r="T54" s="38"/>
      <x:c r="U54" s="38"/>
    </x:row>
    <x:row r="55" ht="44" customHeight="1">
      <x:c r="A55" s="38"/>
      <x:c r="B55" s="71" t="str">
        <x:v>External-flow reconciliation</x:v>
      </x:c>
      <x:c r="C55" s="75" t="n">
        <x:f>SUM(C43:C44)+SUM(H11:H16)</x:f>
        <x:v>0</x:v>
      </x:c>
      <x:c r="D55" s="71" t="str">
        <x:v>Investor flows plus account flows should equal zero.</x:v>
      </x:c>
      <x:c r="E55" s="71"/>
      <x:c r="F55" s="71"/>
      <x:c r="G55" s="71"/>
      <x:c r="H55" s="71"/>
      <x:c r="I55" s="38"/>
      <x:c r="J55" s="38"/>
      <x:c r="K55" s="38"/>
      <x:c r="L55" s="38"/>
      <x:c r="M55" s="38"/>
      <x:c r="N55" s="38"/>
      <x:c r="O55" s="38"/>
      <x:c r="P55" s="38"/>
      <x:c r="Q55" s="38"/>
      <x:c r="R55" s="38"/>
      <x:c r="S55" s="38"/>
      <x:c r="T55" s="38"/>
      <x:c r="U55" s="38"/>
    </x:row>
    <x:row r="56" ht="26" customHeight="1">
      <x:c r="A56" s="38"/>
      <x:c r="B56" s="64"/>
      <x:c r="C56" s="64"/>
      <x:c r="D56" s="64"/>
      <x:c r="E56" s="64"/>
      <x:c r="F56" s="64"/>
      <x:c r="G56" s="64"/>
      <x:c r="H56" s="64"/>
      <x:c r="I56" s="38"/>
      <x:c r="J56" s="38"/>
      <x:c r="K56" s="38"/>
      <x:c r="L56" s="38"/>
      <x:c r="M56" s="38"/>
      <x:c r="N56" s="38"/>
      <x:c r="O56" s="38"/>
      <x:c r="P56" s="38"/>
      <x:c r="Q56" s="38"/>
      <x:c r="R56" s="38"/>
      <x:c r="S56" s="38"/>
      <x:c r="T56" s="38"/>
      <x:c r="U56" s="38"/>
    </x:row>
    <x:row r="57" ht="54" customHeight="1">
      <x:c r="A57" s="38"/>
      <x:c r="B57" s="40" t="str">
        <x:v>Opening NAV and contributions are investor outflows. Withdrawals and closing NAV are inflows. Closing NAV is treated as an assumed liquidation value, not an actual sale.</x:v>
      </x:c>
      <x:c r="C57" s="40"/>
      <x:c r="D57" s="40"/>
      <x:c r="E57" s="40"/>
      <x:c r="F57" s="40"/>
      <x:c r="G57" s="40"/>
      <x:c r="H57" s="40"/>
      <x:c r="I57" s="38"/>
      <x:c r="J57" s="38"/>
      <x:c r="K57" s="38"/>
      <x:c r="L57" s="38"/>
      <x:c r="M57" s="38"/>
      <x:c r="N57" s="38"/>
      <x:c r="O57" s="38"/>
      <x:c r="P57" s="38"/>
      <x:c r="Q57" s="38"/>
      <x:c r="R57" s="38"/>
      <x:c r="S57" s="38"/>
      <x:c r="T57" s="38"/>
      <x:c r="U57" s="38"/>
    </x:row>
    <x:row r="58" ht="26" customHeight="1">
      <x:c r="A58" s="38"/>
      <x:c r="B58" s="64"/>
      <x:c r="C58" s="64"/>
      <x:c r="D58" s="64"/>
      <x:c r="E58" s="64"/>
      <x:c r="F58" s="64"/>
      <x:c r="G58" s="64"/>
      <x:c r="H58" s="64"/>
      <x:c r="I58" s="38"/>
      <x:c r="J58" s="38"/>
      <x:c r="K58" s="38"/>
      <x:c r="L58" s="38"/>
      <x:c r="M58" s="38"/>
      <x:c r="N58" s="38"/>
      <x:c r="O58" s="38"/>
      <x:c r="P58" s="38"/>
      <x:c r="Q58" s="38"/>
      <x:c r="R58" s="38"/>
      <x:c r="S58" s="38"/>
      <x:c r="T58" s="38"/>
      <x:c r="U58" s="38"/>
    </x:row>
    <x:row r="59" ht="48" customHeight="1">
      <x:c r="A59" s="38"/>
      <x:c r="B59" s="40" t="str">
        <x:v>The $750 of fees already reduces closing NAV. Do not subtract fees again. Purchases and sales within the account are not external investor cash flows.</x:v>
      </x:c>
      <x:c r="C59" s="40"/>
      <x:c r="D59" s="40"/>
      <x:c r="E59" s="40"/>
      <x:c r="F59" s="40"/>
      <x:c r="G59" s="40"/>
      <x:c r="H59" s="40"/>
      <x:c r="I59" s="38"/>
      <x:c r="J59" s="38"/>
      <x:c r="K59" s="38"/>
      <x:c r="L59" s="38"/>
      <x:c r="M59" s="38"/>
      <x:c r="N59" s="38"/>
      <x:c r="O59" s="38"/>
      <x:c r="P59" s="38"/>
      <x:c r="Q59" s="38"/>
      <x:c r="R59" s="38"/>
      <x:c r="S59" s="38"/>
      <x:c r="T59" s="38"/>
      <x:c r="U59" s="38"/>
    </x:row>
    <x:row r="60" ht="26" customHeight="1">
      <x:c r="A60" s="38"/>
      <x:c r="B60" s="64"/>
      <x:c r="C60" s="64"/>
      <x:c r="D60" s="64"/>
      <x:c r="E60" s="64"/>
      <x:c r="F60" s="64"/>
      <x:c r="G60" s="64"/>
      <x:c r="H60" s="64"/>
      <x:c r="I60" s="38"/>
      <x:c r="J60" s="38"/>
      <x:c r="K60" s="38"/>
      <x:c r="L60" s="38"/>
      <x:c r="M60" s="38"/>
      <x:c r="N60" s="38"/>
      <x:c r="O60" s="38"/>
      <x:c r="P60" s="38"/>
      <x:c r="Q60" s="38"/>
      <x:c r="R60" s="38"/>
      <x:c r="S60" s="38"/>
      <x:c r="T60" s="38"/>
      <x:c r="U60" s="38"/>
    </x:row>
    <x:row r="61" ht="64" customHeight="1">
      <x:c r="A61" s="38"/>
      <x:c r="B61" s="40" t="str">
        <x:v>The quarterly money-weighted return reflects the amounts and dates of cash invested. TWR removes external-flow effects through subperiod linking. The annualized XIRR is a mathematical rate, not a realized one-year return or a forecast.</x:v>
      </x:c>
      <x:c r="C61" s="40"/>
      <x:c r="D61" s="40"/>
      <x:c r="E61" s="40"/>
      <x:c r="F61" s="40"/>
      <x:c r="G61" s="40"/>
      <x:c r="H61" s="40"/>
      <x:c r="I61" s="38"/>
      <x:c r="J61" s="38"/>
      <x:c r="K61" s="38"/>
      <x:c r="L61" s="38"/>
      <x:c r="M61" s="38"/>
      <x:c r="N61" s="38"/>
      <x:c r="O61" s="38"/>
      <x:c r="P61" s="38"/>
      <x:c r="Q61" s="38"/>
      <x:c r="R61" s="38"/>
      <x:c r="S61" s="38"/>
      <x:c r="T61" s="38"/>
      <x:c r="U61" s="38"/>
    </x:row>
    <x:row r="62" ht="26" customHeight="1">
      <x:c r="A62" s="38"/>
      <x:c r="B62" s="64"/>
      <x:c r="C62" s="64"/>
      <x:c r="D62" s="64"/>
      <x:c r="E62" s="64"/>
      <x:c r="F62" s="64"/>
      <x:c r="G62" s="64"/>
      <x:c r="H62" s="64"/>
      <x:c r="I62" s="38"/>
      <x:c r="J62" s="38"/>
      <x:c r="K62" s="38"/>
      <x:c r="L62" s="38"/>
      <x:c r="M62" s="38"/>
      <x:c r="N62" s="38"/>
      <x:c r="O62" s="38"/>
      <x:c r="P62" s="38"/>
      <x:c r="Q62" s="38"/>
      <x:c r="R62" s="38"/>
      <x:c r="S62" s="38"/>
      <x:c r="T62" s="38"/>
      <x:c r="U62" s="38"/>
    </x:row>
    <x:row r="63" ht="42" customHeight="1">
      <x:c r="A63" s="38"/>
      <x:c r="B63" s="40" t="str">
        <x:v>Reference: https://support.microsoft.com/en-us/excel/functions/xirr-function</x:v>
      </x:c>
      <x:c r="C63" s="40"/>
      <x:c r="D63" s="40"/>
      <x:c r="E63" s="40"/>
      <x:c r="F63" s="40"/>
      <x:c r="G63" s="40"/>
      <x:c r="H63" s="40"/>
      <x:c r="I63" s="38"/>
      <x:c r="J63" s="38"/>
      <x:c r="K63" s="38"/>
      <x:c r="L63" s="38"/>
      <x:c r="M63" s="38"/>
      <x:c r="N63" s="38"/>
      <x:c r="O63" s="38"/>
      <x:c r="P63" s="38"/>
      <x:c r="Q63" s="38"/>
      <x:c r="R63" s="38"/>
      <x:c r="S63" s="38"/>
      <x:c r="T63" s="38"/>
      <x:c r="U63" s="38"/>
    </x:row>
    <x:row r="64" ht="26" customHeight="1">
      <x:c r="A64" s="38"/>
      <x:c r="B64" s="64"/>
      <x:c r="C64" s="64"/>
      <x:c r="D64" s="64"/>
      <x:c r="E64" s="64"/>
      <x:c r="F64" s="64"/>
      <x:c r="G64" s="64"/>
      <x:c r="H64" s="64"/>
      <x:c r="I64" s="38"/>
      <x:c r="J64" s="38"/>
      <x:c r="K64" s="38"/>
      <x:c r="L64" s="38"/>
      <x:c r="M64" s="38"/>
      <x:c r="N64" s="38"/>
      <x:c r="O64" s="38"/>
      <x:c r="P64" s="38"/>
      <x:c r="Q64" s="38"/>
      <x:c r="R64" s="38"/>
      <x:c r="S64" s="38"/>
      <x:c r="T64" s="38"/>
      <x:c r="U64" s="38"/>
    </x:row>
    <x:row r="65" ht="44" customHeight="1">
      <x:c r="A65" s="38"/>
      <x:c r="B65" s="40" t="str">
        <x:v>Reference: https://support.microsoft.com/en-us/excel/go-with-the-cash-flow-calculate-npv-and-irr-in-excel</x:v>
      </x:c>
      <x:c r="C65" s="40"/>
      <x:c r="D65" s="40"/>
      <x:c r="E65" s="40"/>
      <x:c r="F65" s="40"/>
      <x:c r="G65" s="40"/>
      <x:c r="H65" s="40"/>
      <x:c r="I65" s="38"/>
      <x:c r="J65" s="38"/>
      <x:c r="K65" s="38"/>
      <x:c r="L65" s="38"/>
      <x:c r="M65" s="38"/>
      <x:c r="N65" s="38"/>
      <x:c r="O65" s="38"/>
      <x:c r="P65" s="38"/>
      <x:c r="Q65" s="38"/>
      <x:c r="R65" s="38"/>
      <x:c r="S65" s="38"/>
      <x:c r="T65" s="38"/>
      <x:c r="U65" s="38"/>
    </x:row>
    <x:row r="66" ht="26" customHeight="1">
      <x:c r="A66" s="38"/>
      <x:c r="B66" s="64"/>
      <x:c r="C66" s="64"/>
      <x:c r="D66" s="64"/>
      <x:c r="E66" s="64"/>
      <x:c r="F66" s="64"/>
      <x:c r="G66" s="64"/>
      <x:c r="H66" s="64"/>
      <x:c r="I66" s="38"/>
      <x:c r="J66" s="38"/>
      <x:c r="K66" s="38"/>
      <x:c r="L66" s="38"/>
      <x:c r="M66" s="38"/>
      <x:c r="N66" s="38"/>
      <x:c r="O66" s="38"/>
      <x:c r="P66" s="38"/>
      <x:c r="Q66" s="38"/>
      <x:c r="R66" s="38"/>
      <x:c r="S66" s="38"/>
      <x:c r="T66" s="38"/>
      <x:c r="U66" s="38"/>
    </x:row>
    <x:row r="67" ht="42" customHeight="1">
      <x:c r="A67" s="38"/>
      <x:c r="B67" s="40" t="str">
        <x:v>Updated October 1, 2026. Original source records, time-weighted calculations, reconciliation controls and case assumptions are unchanged.</x:v>
      </x:c>
      <x:c r="C67" s="40"/>
      <x:c r="D67" s="40"/>
      <x:c r="E67" s="40"/>
      <x:c r="F67" s="40"/>
      <x:c r="G67" s="40"/>
      <x:c r="H67" s="40"/>
      <x:c r="I67" s="38"/>
      <x:c r="J67" s="38"/>
      <x:c r="K67" s="38"/>
      <x:c r="L67" s="38"/>
      <x:c r="M67" s="38"/>
      <x:c r="N67" s="38"/>
      <x:c r="O67" s="38"/>
      <x:c r="P67" s="38"/>
      <x:c r="Q67" s="38"/>
      <x:c r="R67" s="38"/>
      <x:c r="S67" s="38"/>
      <x:c r="T67" s="38"/>
      <x:c r="U67" s="38"/>
    </x:row>
    <x:row r="68" ht="23" customHeight="1">
      <x:c r="A68" s="38"/>
      <x:c r="B68" s="38"/>
      <x:c r="C68" s="38"/>
      <x:c r="D68" s="38"/>
      <x:c r="E68" s="38"/>
      <x:c r="F68" s="38"/>
      <x:c r="G68" s="38"/>
      <x:c r="H68" s="38"/>
      <x:c r="I68" s="38"/>
      <x:c r="J68" s="38"/>
      <x:c r="K68" s="38"/>
      <x:c r="L68" s="38"/>
      <x:c r="M68" s="38"/>
      <x:c r="N68" s="38"/>
      <x:c r="O68" s="38"/>
      <x:c r="P68" s="38"/>
      <x:c r="Q68" s="38"/>
      <x:c r="R68" s="38"/>
      <x:c r="S68" s="38"/>
      <x:c r="T68" s="38"/>
      <x:c r="U68" s="38"/>
    </x:row>
    <x:row r="69" ht="23" customHeight="1">
      <x:c r="A69" s="38"/>
      <x:c r="B69" s="38"/>
      <x:c r="C69" s="38"/>
      <x:c r="D69" s="38"/>
      <x:c r="E69" s="38"/>
      <x:c r="F69" s="38"/>
      <x:c r="G69" s="38"/>
      <x:c r="H69" s="38"/>
      <x:c r="I69" s="38"/>
      <x:c r="J69" s="38"/>
      <x:c r="K69" s="38"/>
      <x:c r="L69" s="38"/>
      <x:c r="M69" s="38"/>
      <x:c r="N69" s="38"/>
      <x:c r="O69" s="38"/>
      <x:c r="P69" s="38"/>
      <x:c r="Q69" s="38"/>
      <x:c r="R69" s="38"/>
      <x:c r="S69" s="38"/>
      <x:c r="T69" s="38"/>
      <x:c r="U69" s="38"/>
    </x:row>
    <x:row r="70" ht="23" customHeight="1">
      <x:c r="A70" s="38"/>
      <x:c r="B70" s="38"/>
      <x:c r="C70" s="38"/>
      <x:c r="D70" s="38"/>
      <x:c r="E70" s="38"/>
      <x:c r="F70" s="38"/>
      <x:c r="G70" s="38"/>
      <x:c r="H70" s="38"/>
      <x:c r="I70" s="38"/>
      <x:c r="J70" s="38"/>
      <x:c r="K70" s="38"/>
      <x:c r="L70" s="38"/>
      <x:c r="M70" s="38"/>
      <x:c r="N70" s="38"/>
      <x:c r="O70" s="38"/>
      <x:c r="P70" s="38"/>
      <x:c r="Q70" s="38"/>
      <x:c r="R70" s="38"/>
      <x:c r="S70" s="38"/>
      <x:c r="T70" s="38"/>
      <x:c r="U70" s="38"/>
    </x:row>
    <x:row r="71" ht="23" customHeight="1">
      <x:c r="A71" s="38"/>
      <x:c r="B71" s="38"/>
      <x:c r="C71" s="38"/>
      <x:c r="D71" s="38"/>
      <x:c r="E71" s="38"/>
      <x:c r="F71" s="38"/>
      <x:c r="G71" s="38"/>
      <x:c r="H71" s="38"/>
      <x:c r="I71" s="38"/>
      <x:c r="J71" s="38"/>
      <x:c r="K71" s="38"/>
      <x:c r="L71" s="38"/>
      <x:c r="M71" s="38"/>
      <x:c r="N71" s="38"/>
      <x:c r="O71" s="38"/>
      <x:c r="P71" s="38"/>
      <x:c r="Q71" s="38"/>
      <x:c r="R71" s="38"/>
      <x:c r="S71" s="38"/>
      <x:c r="T71" s="38"/>
      <x:c r="U71" s="38"/>
    </x:row>
    <x:row r="72" ht="23" customHeight="1">
      <x:c r="A72" s="38"/>
      <x:c r="B72" s="38"/>
      <x:c r="C72" s="38"/>
      <x:c r="D72" s="38"/>
      <x:c r="E72" s="38"/>
      <x:c r="F72" s="38"/>
      <x:c r="G72" s="38"/>
      <x:c r="H72" s="38"/>
      <x:c r="I72" s="38"/>
      <x:c r="J72" s="38"/>
      <x:c r="K72" s="38"/>
      <x:c r="L72" s="38"/>
      <x:c r="M72" s="38"/>
      <x:c r="N72" s="38"/>
      <x:c r="O72" s="38"/>
      <x:c r="P72" s="38"/>
      <x:c r="Q72" s="38"/>
      <x:c r="R72" s="38"/>
      <x:c r="S72" s="38"/>
      <x:c r="T72" s="38"/>
      <x:c r="U72" s="38"/>
    </x:row>
    <x:row r="73" ht="23" customHeight="1">
      <x:c r="A73" s="38"/>
      <x:c r="B73" s="38"/>
      <x:c r="C73" s="38"/>
      <x:c r="D73" s="38"/>
      <x:c r="E73" s="38"/>
      <x:c r="F73" s="38"/>
      <x:c r="G73" s="38"/>
      <x:c r="H73" s="38"/>
      <x:c r="I73" s="38"/>
      <x:c r="J73" s="38"/>
      <x:c r="K73" s="38"/>
      <x:c r="L73" s="38"/>
      <x:c r="M73" s="38"/>
      <x:c r="N73" s="38"/>
      <x:c r="O73" s="38"/>
      <x:c r="P73" s="38"/>
      <x:c r="Q73" s="38"/>
      <x:c r="R73" s="38"/>
      <x:c r="S73" s="38"/>
      <x:c r="T73" s="38"/>
      <x:c r="U73" s="38"/>
    </x:row>
    <x:row r="74" ht="23" customHeight="1">
      <x:c r="A74" s="38"/>
      <x:c r="B74" s="38"/>
      <x:c r="C74" s="38"/>
      <x:c r="D74" s="38"/>
      <x:c r="E74" s="38"/>
      <x:c r="F74" s="38"/>
      <x:c r="G74" s="38"/>
      <x:c r="H74" s="38"/>
      <x:c r="I74" s="38"/>
      <x:c r="J74" s="38"/>
      <x:c r="K74" s="38"/>
      <x:c r="L74" s="38"/>
      <x:c r="M74" s="38"/>
      <x:c r="N74" s="38"/>
      <x:c r="O74" s="38"/>
      <x:c r="P74" s="38"/>
      <x:c r="Q74" s="38"/>
      <x:c r="R74" s="38"/>
      <x:c r="S74" s="38"/>
      <x:c r="T74" s="38"/>
      <x:c r="U74" s="38"/>
    </x:row>
    <x:row r="75" ht="23" customHeight="1">
      <x:c r="A75" s="38"/>
      <x:c r="B75" s="38"/>
      <x:c r="C75" s="38"/>
      <x:c r="D75" s="38"/>
      <x:c r="E75" s="38"/>
      <x:c r="F75" s="38"/>
      <x:c r="G75" s="38"/>
      <x:c r="H75" s="38"/>
      <x:c r="I75" s="38"/>
      <x:c r="J75" s="38"/>
      <x:c r="K75" s="38"/>
      <x:c r="L75" s="38"/>
      <x:c r="M75" s="38"/>
      <x:c r="N75" s="38"/>
      <x:c r="O75" s="38"/>
      <x:c r="P75" s="38"/>
      <x:c r="Q75" s="38"/>
      <x:c r="R75" s="38"/>
      <x:c r="S75" s="38"/>
      <x:c r="T75" s="38"/>
      <x:c r="U75" s="38"/>
    </x:row>
    <x:row r="76" ht="23" customHeight="1">
      <x:c r="A76" s="38"/>
      <x:c r="B76" s="38"/>
      <x:c r="C76" s="38"/>
      <x:c r="D76" s="38"/>
      <x:c r="E76" s="38"/>
      <x:c r="F76" s="38"/>
      <x:c r="G76" s="38"/>
      <x:c r="H76" s="38"/>
      <x:c r="I76" s="38"/>
      <x:c r="J76" s="38"/>
      <x:c r="K76" s="38"/>
      <x:c r="L76" s="38"/>
      <x:c r="M76" s="38"/>
      <x:c r="N76" s="38"/>
      <x:c r="O76" s="38"/>
      <x:c r="P76" s="38"/>
      <x:c r="Q76" s="38"/>
      <x:c r="R76" s="38"/>
      <x:c r="S76" s="38"/>
      <x:c r="T76" s="38"/>
      <x:c r="U76" s="38"/>
    </x:row>
    <x:row r="77" ht="23" customHeight="1">
      <x:c r="A77" s="38"/>
      <x:c r="B77" s="38"/>
      <x:c r="C77" s="38"/>
      <x:c r="D77" s="38"/>
      <x:c r="E77" s="38"/>
      <x:c r="F77" s="38"/>
      <x:c r="G77" s="38"/>
      <x:c r="H77" s="38"/>
      <x:c r="I77" s="38"/>
      <x:c r="J77" s="38"/>
      <x:c r="K77" s="38"/>
      <x:c r="L77" s="38"/>
      <x:c r="M77" s="38"/>
      <x:c r="N77" s="38"/>
      <x:c r="O77" s="38"/>
      <x:c r="P77" s="38"/>
      <x:c r="Q77" s="38"/>
      <x:c r="R77" s="38"/>
      <x:c r="S77" s="38"/>
      <x:c r="T77" s="38"/>
      <x:c r="U77" s="38"/>
    </x:row>
    <x:row r="78" ht="23" customHeight="1">
      <x:c r="A78" s="38"/>
      <x:c r="B78" s="38"/>
      <x:c r="C78" s="38"/>
      <x:c r="D78" s="38"/>
      <x:c r="E78" s="38"/>
      <x:c r="F78" s="38"/>
      <x:c r="G78" s="38"/>
      <x:c r="H78" s="38"/>
      <x:c r="I78" s="38"/>
      <x:c r="J78" s="38"/>
      <x:c r="K78" s="38"/>
      <x:c r="L78" s="38"/>
      <x:c r="M78" s="38"/>
      <x:c r="N78" s="38"/>
      <x:c r="O78" s="38"/>
      <x:c r="P78" s="38"/>
      <x:c r="Q78" s="38"/>
      <x:c r="R78" s="38"/>
      <x:c r="S78" s="38"/>
      <x:c r="T78" s="38"/>
      <x:c r="U78" s="38"/>
    </x:row>
    <x:row r="79" ht="23" customHeight="1">
      <x:c r="A79" s="38"/>
      <x:c r="B79" s="38"/>
      <x:c r="C79" s="38"/>
      <x:c r="D79" s="38"/>
      <x:c r="E79" s="38"/>
      <x:c r="F79" s="38"/>
      <x:c r="G79" s="38"/>
      <x:c r="H79" s="38"/>
      <x:c r="I79" s="38"/>
      <x:c r="J79" s="38"/>
      <x:c r="K79" s="38"/>
      <x:c r="L79" s="38"/>
      <x:c r="M79" s="38"/>
      <x:c r="N79" s="38"/>
      <x:c r="O79" s="38"/>
      <x:c r="P79" s="38"/>
      <x:c r="Q79" s="38"/>
      <x:c r="R79" s="38"/>
      <x:c r="S79" s="38"/>
      <x:c r="T79" s="38"/>
      <x:c r="U79" s="38"/>
    </x:row>
    <x:row r="80" ht="23" customHeight="1">
      <x:c r="A80" s="38"/>
      <x:c r="B80" s="38"/>
      <x:c r="C80" s="38"/>
      <x:c r="D80" s="38"/>
      <x:c r="E80" s="38"/>
      <x:c r="F80" s="38"/>
      <x:c r="G80" s="38"/>
      <x:c r="H80" s="38"/>
      <x:c r="I80" s="38"/>
      <x:c r="J80" s="38"/>
      <x:c r="K80" s="38"/>
      <x:c r="L80" s="38"/>
      <x:c r="M80" s="38"/>
      <x:c r="N80" s="38"/>
      <x:c r="O80" s="38"/>
      <x:c r="P80" s="38"/>
      <x:c r="Q80" s="38"/>
      <x:c r="R80" s="38"/>
      <x:c r="S80" s="38"/>
      <x:c r="T80" s="38"/>
      <x:c r="U80" s="38"/>
    </x:row>
    <x:row r="81" ht="23" customHeight="1">
      <x:c r="A81" s="38"/>
      <x:c r="B81" s="38"/>
      <x:c r="C81" s="38"/>
      <x:c r="D81" s="38"/>
      <x:c r="E81" s="38"/>
      <x:c r="F81" s="38"/>
      <x:c r="G81" s="38"/>
      <x:c r="H81" s="38"/>
      <x:c r="I81" s="38"/>
      <x:c r="J81" s="38"/>
      <x:c r="K81" s="38"/>
      <x:c r="L81" s="38"/>
      <x:c r="M81" s="38"/>
      <x:c r="N81" s="38"/>
      <x:c r="O81" s="38"/>
      <x:c r="P81" s="38"/>
      <x:c r="Q81" s="38"/>
      <x:c r="R81" s="38"/>
      <x:c r="S81" s="38"/>
      <x:c r="T81" s="38"/>
      <x:c r="U81" s="38"/>
    </x:row>
    <x:row r="82" ht="23" customHeight="1">
      <x:c r="A82" s="38"/>
      <x:c r="B82" s="38"/>
      <x:c r="C82" s="38"/>
      <x:c r="D82" s="38"/>
      <x:c r="E82" s="38"/>
      <x:c r="F82" s="38"/>
      <x:c r="G82" s="38"/>
      <x:c r="H82" s="38"/>
      <x:c r="I82" s="38"/>
      <x:c r="J82" s="38"/>
      <x:c r="K82" s="38"/>
      <x:c r="L82" s="38"/>
      <x:c r="M82" s="38"/>
      <x:c r="N82" s="38"/>
      <x:c r="O82" s="38"/>
      <x:c r="P82" s="38"/>
      <x:c r="Q82" s="38"/>
      <x:c r="R82" s="38"/>
      <x:c r="S82" s="38"/>
      <x:c r="T82" s="38"/>
      <x:c r="U82" s="38"/>
    </x:row>
    <x:row r="83" ht="23" customHeight="1">
      <x:c r="A83" s="38"/>
      <x:c r="B83" s="38"/>
      <x:c r="C83" s="38"/>
      <x:c r="D83" s="38"/>
      <x:c r="E83" s="38"/>
      <x:c r="F83" s="38"/>
      <x:c r="G83" s="38"/>
      <x:c r="H83" s="38"/>
      <x:c r="I83" s="38"/>
      <x:c r="J83" s="38"/>
      <x:c r="K83" s="38"/>
      <x:c r="L83" s="38"/>
      <x:c r="M83" s="38"/>
      <x:c r="N83" s="38"/>
      <x:c r="O83" s="38"/>
      <x:c r="P83" s="38"/>
      <x:c r="Q83" s="38"/>
      <x:c r="R83" s="38"/>
      <x:c r="S83" s="38"/>
      <x:c r="T83" s="38"/>
      <x:c r="U83" s="38"/>
    </x:row>
    <x:row r="84" ht="23" customHeight="1">
      <x:c r="A84" s="38"/>
      <x:c r="B84" s="38"/>
      <x:c r="C84" s="38"/>
      <x:c r="D84" s="38"/>
      <x:c r="E84" s="38"/>
      <x:c r="F84" s="38"/>
      <x:c r="G84" s="38"/>
      <x:c r="H84" s="38"/>
      <x:c r="I84" s="38"/>
      <x:c r="J84" s="38"/>
      <x:c r="K84" s="38"/>
      <x:c r="L84" s="38"/>
      <x:c r="M84" s="38"/>
      <x:c r="N84" s="38"/>
      <x:c r="O84" s="38"/>
      <x:c r="P84" s="38"/>
      <x:c r="Q84" s="38"/>
      <x:c r="R84" s="38"/>
      <x:c r="S84" s="38"/>
      <x:c r="T84" s="38"/>
      <x:c r="U84" s="38"/>
    </x:row>
    <x:row r="85" ht="23" customHeight="1">
      <x:c r="A85" s="38"/>
      <x:c r="B85" s="38"/>
      <x:c r="C85" s="38"/>
      <x:c r="D85" s="38"/>
      <x:c r="E85" s="38"/>
      <x:c r="F85" s="38"/>
      <x:c r="G85" s="38"/>
      <x:c r="H85" s="38"/>
      <x:c r="I85" s="38"/>
      <x:c r="J85" s="38"/>
      <x:c r="K85" s="38"/>
      <x:c r="L85" s="38"/>
      <x:c r="M85" s="38"/>
      <x:c r="N85" s="38"/>
      <x:c r="O85" s="38"/>
      <x:c r="P85" s="38"/>
      <x:c r="Q85" s="38"/>
      <x:c r="R85" s="38"/>
      <x:c r="S85" s="38"/>
      <x:c r="T85" s="38"/>
      <x:c r="U85" s="38"/>
    </x:row>
  </x:sheetData>
  <x:mergeCells>
    <x:mergeCell ref="B2:R3"/>
    <x:mergeCell ref="B4:R5"/>
    <x:mergeCell ref="B32:M32"/>
    <x:mergeCell ref="B34:M34"/>
    <x:mergeCell ref="B37:H38"/>
    <x:mergeCell ref="B39:H39"/>
    <x:mergeCell ref="D41:H41"/>
    <x:mergeCell ref="D42:H42"/>
    <x:mergeCell ref="D43:H43"/>
    <x:mergeCell ref="D44:H44"/>
    <x:mergeCell ref="D45:H45"/>
    <x:mergeCell ref="D47:H47"/>
    <x:mergeCell ref="D48:H48"/>
    <x:mergeCell ref="D49:H49"/>
    <x:mergeCell ref="D50:H50"/>
    <x:mergeCell ref="D51:H51"/>
    <x:mergeCell ref="D52:H52"/>
    <x:mergeCell ref="D53:H53"/>
    <x:mergeCell ref="D54:H54"/>
    <x:mergeCell ref="D55:H55"/>
    <x:mergeCell ref="B57:H57"/>
    <x:mergeCell ref="B59:H59"/>
    <x:mergeCell ref="B61:H61"/>
    <x:mergeCell ref="B63:H63"/>
    <x:mergeCell ref="B65:H65"/>
    <x:mergeCell ref="B67:H67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007F86"/>
  </x:sheetPr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3" hidden="0" customWidth="1"/>
    <x:col min="2" max="2" width="27" hidden="0" customWidth="1"/>
    <x:col min="3" max="3" width="46" hidden="0" customWidth="1"/>
    <x:col min="4" max="4" width="46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</x:cols>
  <x:sheetData>
    <x:row r="1" ht="23" customHeight="1">
      <x:c r="A1" s="38"/>
      <x:c r="B1" s="38"/>
      <x:c r="C1" s="38"/>
      <x:c r="D1" s="38"/>
      <x:c r="E1" s="38"/>
      <x:c r="F1" s="38"/>
      <x:c r="G1" s="38"/>
      <x:c r="H1" s="38"/>
      <x:c r="I1" s="38"/>
      <x:c r="J1" s="38"/>
      <x:c r="K1" s="38"/>
      <x:c r="L1" s="38"/>
      <x:c r="M1" s="38"/>
      <x:c r="N1" s="38"/>
      <x:c r="O1" s="38"/>
      <x:c r="P1" s="38"/>
      <x:c r="Q1" s="38"/>
      <x:c r="R1" s="38"/>
      <x:c r="S1" s="38"/>
      <x:c r="T1" s="38"/>
      <x:c r="U1" s="38"/>
    </x:row>
    <x:row r="2" ht="23" customHeight="1">
      <x:c r="A2" s="38"/>
      <x:c r="B2" s="4" t="str">
        <x:v>Reconciliation and review controls</x:v>
      </x:c>
      <x:c r="C2" s="4"/>
      <x:c r="D2" s="4"/>
      <x:c r="E2" s="4"/>
      <x:c r="F2" s="4"/>
      <x:c r="G2" s="4"/>
      <x:c r="H2" s="4"/>
      <x:c r="I2" s="4"/>
      <x:c r="J2" s="4"/>
      <x:c r="K2" s="38"/>
      <x:c r="L2" s="38"/>
      <x:c r="M2" s="38"/>
      <x:c r="N2" s="38"/>
      <x:c r="O2" s="38"/>
      <x:c r="P2" s="38"/>
      <x:c r="Q2" s="38"/>
      <x:c r="R2" s="38"/>
      <x:c r="S2" s="38"/>
      <x:c r="T2" s="38"/>
      <x:c r="U2" s="38"/>
    </x:row>
    <x:row r="3" ht="23" customHeight="1">
      <x:c r="A3" s="38"/>
      <x:c r="B3" s="4"/>
      <x:c r="C3" s="4"/>
      <x:c r="D3" s="4"/>
      <x:c r="E3" s="4"/>
      <x:c r="F3" s="4"/>
      <x:c r="G3" s="4"/>
      <x:c r="H3" s="4"/>
      <x:c r="I3" s="4"/>
      <x:c r="J3" s="4"/>
      <x:c r="K3" s="38"/>
      <x:c r="L3" s="38"/>
      <x:c r="M3" s="38"/>
      <x:c r="N3" s="38"/>
      <x:c r="O3" s="38"/>
      <x:c r="P3" s="38"/>
      <x:c r="Q3" s="38"/>
      <x:c r="R3" s="38"/>
      <x:c r="S3" s="38"/>
      <x:c r="T3" s="38"/>
      <x:c r="U3" s="38"/>
    </x:row>
    <x:row r="4" ht="23" customHeight="1">
      <x:c r="A4" s="38"/>
      <x:c r="B4" s="39" t="str">
        <x:v>Every exception is intentionally seeded in synthetic practice records; these are not errors identified in an actual client account.</x:v>
      </x:c>
      <x:c r="C4" s="39"/>
      <x:c r="D4" s="39"/>
      <x:c r="E4" s="39"/>
      <x:c r="F4" s="39"/>
      <x:c r="G4" s="39"/>
      <x:c r="H4" s="39"/>
      <x:c r="I4" s="39"/>
      <x:c r="J4" s="39"/>
      <x:c r="K4" s="38"/>
      <x:c r="L4" s="38"/>
      <x:c r="M4" s="38"/>
      <x:c r="N4" s="38"/>
      <x:c r="O4" s="38"/>
      <x:c r="P4" s="38"/>
      <x:c r="Q4" s="38"/>
      <x:c r="R4" s="38"/>
      <x:c r="S4" s="38"/>
      <x:c r="T4" s="38"/>
      <x:c r="U4" s="38"/>
    </x:row>
    <x:row r="5" ht="23" customHeight="1">
      <x:c r="A5" s="38"/>
      <x:c r="B5" s="39"/>
      <x:c r="C5" s="39"/>
      <x:c r="D5" s="39"/>
      <x:c r="E5" s="39"/>
      <x:c r="F5" s="39"/>
      <x:c r="G5" s="39"/>
      <x:c r="H5" s="39"/>
      <x:c r="I5" s="39"/>
      <x:c r="J5" s="39"/>
      <x:c r="K5" s="38"/>
      <x:c r="L5" s="38"/>
      <x:c r="M5" s="38"/>
      <x:c r="N5" s="38"/>
      <x:c r="O5" s="38"/>
      <x:c r="P5" s="38"/>
      <x:c r="Q5" s="38"/>
      <x:c r="R5" s="38"/>
      <x:c r="S5" s="38"/>
      <x:c r="T5" s="38"/>
      <x:c r="U5" s="38"/>
    </x:row>
    <x:row r="6" ht="23" customHeight="1">
      <x:c r="A6" s="38"/>
      <x:c r="B6" s="38"/>
      <x:c r="C6" s="38"/>
      <x:c r="D6" s="38"/>
      <x:c r="E6" s="38"/>
      <x:c r="F6" s="38"/>
      <x:c r="G6" s="38"/>
      <x:c r="H6" s="38"/>
      <x:c r="I6" s="38"/>
      <x:c r="J6" s="38"/>
      <x:c r="K6" s="38"/>
      <x:c r="L6" s="38"/>
      <x:c r="M6" s="38"/>
      <x:c r="N6" s="38"/>
      <x:c r="O6" s="38"/>
      <x:c r="P6" s="38"/>
      <x:c r="Q6" s="38"/>
      <x:c r="R6" s="38"/>
      <x:c r="S6" s="38"/>
      <x:c r="T6" s="38"/>
      <x:c r="U6" s="38"/>
    </x:row>
    <x:row r="7" ht="23" customHeight="1">
      <x:c r="A7" s="38"/>
      <x:c r="B7" s="38"/>
      <x:c r="C7" s="38"/>
      <x:c r="D7" s="38"/>
      <x:c r="E7" s="38"/>
      <x:c r="F7" s="38"/>
      <x:c r="G7" s="38"/>
      <x:c r="H7" s="38"/>
      <x:c r="I7" s="38"/>
      <x:c r="J7" s="38"/>
      <x:c r="K7" s="38"/>
      <x:c r="L7" s="38"/>
      <x:c r="M7" s="38"/>
      <x:c r="N7" s="38"/>
      <x:c r="O7" s="38"/>
      <x:c r="P7" s="38"/>
      <x:c r="Q7" s="38"/>
      <x:c r="R7" s="38"/>
      <x:c r="S7" s="38"/>
      <x:c r="T7" s="38"/>
      <x:c r="U7" s="38"/>
    </x:row>
    <x:row r="8" ht="23" customHeight="1">
      <x:c r="A8" s="38"/>
      <x:c r="B8" s="38"/>
      <x:c r="C8" s="38"/>
      <x:c r="D8" s="38"/>
      <x:c r="E8" s="38"/>
      <x:c r="F8" s="38"/>
      <x:c r="G8" s="38"/>
      <x:c r="H8" s="38"/>
      <x:c r="I8" s="38"/>
      <x:c r="J8" s="38"/>
      <x:c r="K8" s="38"/>
      <x:c r="L8" s="38"/>
      <x:c r="M8" s="38"/>
      <x:c r="N8" s="38"/>
      <x:c r="O8" s="38"/>
      <x:c r="P8" s="38"/>
      <x:c r="Q8" s="38"/>
      <x:c r="R8" s="38"/>
      <x:c r="S8" s="38"/>
      <x:c r="T8" s="38"/>
      <x:c r="U8" s="38"/>
    </x:row>
    <x:row r="9" ht="34" customHeight="1">
      <x:c r="A9" s="38"/>
      <x:c r="B9" s="41" t="str">
        <x:v>Exception</x:v>
      </x:c>
      <x:c r="C9" s="41" t="str">
        <x:v>Finding</x:v>
      </x:c>
      <x:c r="D9" s="41" t="str">
        <x:v>Resolution</x:v>
      </x:c>
      <x:c r="E9" s="41" t="str">
        <x:v>Status</x:v>
      </x:c>
      <x:c r="F9" s="38"/>
      <x:c r="G9" s="38"/>
      <x:c r="H9" s="38"/>
      <x:c r="I9" s="38"/>
      <x:c r="J9" s="38"/>
      <x:c r="K9" s="38"/>
      <x:c r="L9" s="38"/>
      <x:c r="M9" s="38"/>
      <x:c r="N9" s="38"/>
      <x:c r="O9" s="38"/>
      <x:c r="P9" s="38"/>
      <x:c r="Q9" s="38"/>
      <x:c r="R9" s="38"/>
      <x:c r="S9" s="38"/>
      <x:c r="T9" s="38"/>
      <x:c r="U9" s="38"/>
    </x:row>
    <x:row r="10" ht="58" customHeight="1">
      <x:c r="A10" s="38"/>
      <x:c r="B10" s="49" t="str">
        <x:v>External-flow classification</x:v>
      </x:c>
      <x:c r="C10" s="49" t="str">
        <x:v>$100,000 contribution recorded as income</x:v>
      </x:c>
      <x:c r="D10" s="49" t="str">
        <x:v>Reclassify as external contribution; no duplicate cash</x:v>
      </x:c>
      <x:c r="E10" s="49" t="str">
        <x:v>Resolved</x:v>
      </x:c>
      <x:c r="F10" s="38"/>
      <x:c r="G10" s="38"/>
      <x:c r="H10" s="38"/>
      <x:c r="I10" s="38"/>
      <x:c r="J10" s="38"/>
      <x:c r="K10" s="38"/>
      <x:c r="L10" s="38"/>
      <x:c r="M10" s="38"/>
      <x:c r="N10" s="38"/>
      <x:c r="O10" s="38"/>
      <x:c r="P10" s="38"/>
      <x:c r="Q10" s="38"/>
      <x:c r="R10" s="38"/>
      <x:c r="S10" s="38"/>
      <x:c r="T10" s="38"/>
      <x:c r="U10" s="38"/>
    </x:row>
    <x:row r="11" ht="58" customHeight="1">
      <x:c r="A11" s="38"/>
      <x:c r="B11" s="49" t="str">
        <x:v>Missing purchase</x:v>
      </x:c>
      <x:c r="C11" s="49" t="str">
        <x:v>$40,000 renewable-sleeve trade absent</x:v>
      </x:c>
      <x:c r="D11" s="49" t="str">
        <x:v>Add trade units and reduce cash by $40,000</x:v>
      </x:c>
      <x:c r="E11" s="49" t="str">
        <x:v>Resolved</x:v>
      </x:c>
      <x:c r="F11" s="38"/>
      <x:c r="G11" s="38"/>
      <x:c r="H11" s="38"/>
      <x:c r="I11" s="38"/>
      <x:c r="J11" s="38"/>
      <x:c r="K11" s="38"/>
      <x:c r="L11" s="38"/>
      <x:c r="M11" s="38"/>
      <x:c r="N11" s="38"/>
      <x:c r="O11" s="38"/>
      <x:c r="P11" s="38"/>
      <x:c r="Q11" s="38"/>
      <x:c r="R11" s="38"/>
      <x:c r="S11" s="38"/>
      <x:c r="T11" s="38"/>
      <x:c r="U11" s="38"/>
    </x:row>
    <x:row r="12" ht="58" customHeight="1">
      <x:c r="A12" s="38"/>
      <x:c r="B12" s="49" t="str">
        <x:v>Missing management fee</x:v>
      </x:c>
      <x:c r="C12" s="49" t="str">
        <x:v>$250 December fee not recorded</x:v>
      </x:c>
      <x:c r="D12" s="49" t="str">
        <x:v>Record fee and reduce cash by $250</x:v>
      </x:c>
      <x:c r="E12" s="49" t="str">
        <x:v>Resolved</x:v>
      </x:c>
      <x:c r="F12" s="38"/>
      <x:c r="G12" s="38"/>
      <x:c r="H12" s="38"/>
      <x:c r="I12" s="38"/>
      <x:c r="J12" s="38"/>
      <x:c r="K12" s="38"/>
      <x:c r="L12" s="38"/>
      <x:c r="M12" s="38"/>
      <x:c r="N12" s="38"/>
      <x:c r="O12" s="38"/>
      <x:c r="P12" s="38"/>
      <x:c r="Q12" s="38"/>
      <x:c r="R12" s="38"/>
      <x:c r="S12" s="38"/>
      <x:c r="T12" s="38"/>
      <x:c r="U12" s="38"/>
    </x:row>
    <x:row r="13" ht="58" customHeight="1">
      <x:c r="A13" s="38"/>
      <x:c r="B13" s="49" t="str">
        <x:v>Stale valuation price</x:v>
      </x:c>
      <x:c r="C13" s="49" t="str">
        <x:v>Technology valued at November price</x:v>
      </x:c>
      <x:c r="D13" s="49" t="str">
        <x:v>Use verified December statement price</x:v>
      </x:c>
      <x:c r="E13" s="49" t="str">
        <x:v>Resolved</x:v>
      </x:c>
      <x:c r="F13" s="38"/>
      <x:c r="G13" s="38"/>
      <x:c r="H13" s="38"/>
      <x:c r="I13" s="38"/>
      <x:c r="J13" s="38"/>
      <x:c r="K13" s="38"/>
      <x:c r="L13" s="38"/>
      <x:c r="M13" s="38"/>
      <x:c r="N13" s="38"/>
      <x:c r="O13" s="38"/>
      <x:c r="P13" s="38"/>
      <x:c r="Q13" s="38"/>
      <x:c r="R13" s="38"/>
      <x:c r="S13" s="38"/>
      <x:c r="T13" s="38"/>
      <x:c r="U13" s="38"/>
    </x:row>
    <x:row r="14" ht="23" customHeight="1">
      <x:c r="A14" s="38"/>
      <x:c r="B14" s="38"/>
      <x:c r="C14" s="38"/>
      <x:c r="D14" s="38"/>
      <x:c r="E14" s="38"/>
      <x:c r="F14" s="38"/>
      <x:c r="G14" s="38"/>
      <x:c r="H14" s="38"/>
      <x:c r="I14" s="38"/>
      <x:c r="J14" s="38"/>
      <x:c r="K14" s="38"/>
      <x:c r="L14" s="38"/>
      <x:c r="M14" s="38"/>
      <x:c r="N14" s="38"/>
      <x:c r="O14" s="38"/>
      <x:c r="P14" s="38"/>
      <x:c r="Q14" s="38"/>
      <x:c r="R14" s="38"/>
      <x:c r="S14" s="38"/>
      <x:c r="T14" s="38"/>
      <x:c r="U14" s="38"/>
    </x:row>
    <x:row r="15" ht="23" customHeight="1">
      <x:c r="A15" s="38"/>
      <x:c r="B15" s="38"/>
      <x:c r="C15" s="38"/>
      <x:c r="D15" s="38"/>
      <x:c r="E15" s="38"/>
      <x:c r="F15" s="38"/>
      <x:c r="G15" s="38"/>
      <x:c r="H15" s="38"/>
      <x:c r="I15" s="38"/>
      <x:c r="J15" s="38"/>
      <x:c r="K15" s="38"/>
      <x:c r="L15" s="38"/>
      <x:c r="M15" s="38"/>
      <x:c r="N15" s="38"/>
      <x:c r="O15" s="38"/>
      <x:c r="P15" s="38"/>
      <x:c r="Q15" s="38"/>
      <x:c r="R15" s="38"/>
      <x:c r="S15" s="38"/>
      <x:c r="T15" s="38"/>
      <x:c r="U15" s="38"/>
    </x:row>
    <x:row r="16" ht="23" customHeight="1">
      <x:c r="A16" s="38"/>
      <x:c r="B16" s="38"/>
      <x:c r="C16" s="38"/>
      <x:c r="D16" s="38"/>
      <x:c r="E16" s="38"/>
      <x:c r="F16" s="38"/>
      <x:c r="G16" s="38"/>
      <x:c r="H16" s="38"/>
      <x:c r="I16" s="38"/>
      <x:c r="J16" s="38"/>
      <x:c r="K16" s="38"/>
      <x:c r="L16" s="38"/>
      <x:c r="M16" s="38"/>
      <x:c r="N16" s="38"/>
      <x:c r="O16" s="38"/>
      <x:c r="P16" s="38"/>
      <x:c r="Q16" s="38"/>
      <x:c r="R16" s="38"/>
      <x:c r="S16" s="38"/>
      <x:c r="T16" s="38"/>
      <x:c r="U16" s="38"/>
    </x:row>
    <x:row r="17" ht="34" customHeight="1">
      <x:c r="A17" s="38"/>
      <x:c r="B17" s="41" t="str">
        <x:v>Closing holding</x:v>
      </x:c>
      <x:c r="C17" s="41" t="str">
        <x:v>Raw book value</x:v>
      </x:c>
      <x:c r="D17" s="41" t="str">
        <x:v>Statement value</x:v>
      </x:c>
      <x:c r="E17" s="41" t="str">
        <x:v>Corrected value</x:v>
      </x:c>
      <x:c r="F17" s="41" t="str">
        <x:v>Residual</x:v>
      </x:c>
      <x:c r="G17" s="38"/>
      <x:c r="H17" s="38"/>
      <x:c r="I17" s="38"/>
      <x:c r="J17" s="38"/>
      <x:c r="K17" s="38"/>
      <x:c r="L17" s="38"/>
      <x:c r="M17" s="38"/>
      <x:c r="N17" s="38"/>
      <x:c r="O17" s="38"/>
      <x:c r="P17" s="38"/>
      <x:c r="Q17" s="38"/>
      <x:c r="R17" s="38"/>
      <x:c r="S17" s="38"/>
      <x:c r="T17" s="38"/>
      <x:c r="U17" s="38"/>
    </x:row>
    <x:row r="18" ht="23" customHeight="1">
      <x:c r="A18" s="38"/>
      <x:c r="B18" s="38" t="str">
        <x:v>Technology</x:v>
      </x:c>
      <x:c r="C18" s="43" t="n">
        <x:f>'Positions'!K52</x:f>
        <x:v>376525.68041813956</x:v>
      </x:c>
      <x:c r="D18" s="43" t="n">
        <x:f>'Positions'!M52</x:f>
        <x:v>369715.9585325737</x:v>
      </x:c>
      <x:c r="E18" s="43" t="n">
        <x:f>'Positions'!L52</x:f>
        <x:v>369715.9585325737</x:v>
      </x:c>
      <x:c r="F18" s="53" t="n">
        <x:f>E18-D18</x:f>
        <x:v>0</x:v>
      </x:c>
      <x:c r="G18" s="38"/>
      <x:c r="H18" s="38"/>
      <x:c r="I18" s="38"/>
      <x:c r="J18" s="38"/>
      <x:c r="K18" s="38"/>
      <x:c r="L18" s="38"/>
      <x:c r="M18" s="38"/>
      <x:c r="N18" s="38"/>
      <x:c r="O18" s="38"/>
      <x:c r="P18" s="38"/>
      <x:c r="Q18" s="38"/>
      <x:c r="R18" s="38"/>
      <x:c r="S18" s="38"/>
      <x:c r="T18" s="38"/>
      <x:c r="U18" s="38"/>
    </x:row>
    <x:row r="19" ht="23" customHeight="1">
      <x:c r="A19" s="38"/>
      <x:c r="B19" s="38" t="str">
        <x:v>Health Care</x:v>
      </x:c>
      <x:c r="C19" s="43" t="n">
        <x:f>'Positions'!K53</x:f>
        <x:v>144956.5244294096</x:v>
      </x:c>
      <x:c r="D19" s="43" t="n">
        <x:f>'Positions'!M53</x:f>
        <x:v>144956.5244294096</x:v>
      </x:c>
      <x:c r="E19" s="43" t="n">
        <x:f>'Positions'!L53</x:f>
        <x:v>144956.5244294096</x:v>
      </x:c>
      <x:c r="F19" s="53" t="n">
        <x:f>E19-D19</x:f>
        <x:v>0</x:v>
      </x:c>
      <x:c r="G19" s="38"/>
      <x:c r="H19" s="38"/>
      <x:c r="I19" s="38"/>
      <x:c r="J19" s="38"/>
      <x:c r="K19" s="38"/>
      <x:c r="L19" s="38"/>
      <x:c r="M19" s="38"/>
      <x:c r="N19" s="38"/>
      <x:c r="O19" s="38"/>
      <x:c r="P19" s="38"/>
      <x:c r="Q19" s="38"/>
      <x:c r="R19" s="38"/>
      <x:c r="S19" s="38"/>
      <x:c r="T19" s="38"/>
      <x:c r="U19" s="38"/>
    </x:row>
    <x:row r="20" ht="23" customHeight="1">
      <x:c r="A20" s="38"/>
      <x:c r="B20" s="38" t="str">
        <x:v>Oil &amp; Gas</x:v>
      </x:c>
      <x:c r="C20" s="43" t="n">
        <x:f>'Positions'!K54</x:f>
        <x:v>163173.53076603104</x:v>
      </x:c>
      <x:c r="D20" s="43" t="n">
        <x:f>'Positions'!M54</x:f>
        <x:v>163173.53076603104</x:v>
      </x:c>
      <x:c r="E20" s="43" t="n">
        <x:f>'Positions'!L54</x:f>
        <x:v>163173.53076603104</x:v>
      </x:c>
      <x:c r="F20" s="53" t="n">
        <x:f>E20-D20</x:f>
        <x:v>0</x:v>
      </x:c>
      <x:c r="G20" s="38"/>
      <x:c r="H20" s="38"/>
      <x:c r="I20" s="38"/>
      <x:c r="J20" s="38"/>
      <x:c r="K20" s="38"/>
      <x:c r="L20" s="38"/>
      <x:c r="M20" s="38"/>
      <x:c r="N20" s="38"/>
      <x:c r="O20" s="38"/>
      <x:c r="P20" s="38"/>
      <x:c r="Q20" s="38"/>
      <x:c r="R20" s="38"/>
      <x:c r="S20" s="38"/>
      <x:c r="T20" s="38"/>
      <x:c r="U20" s="38"/>
    </x:row>
    <x:row r="21" ht="23" customHeight="1">
      <x:c r="A21" s="38"/>
      <x:c r="B21" s="38" t="str">
        <x:v>Financials</x:v>
      </x:c>
      <x:c r="C21" s="43" t="n">
        <x:f>'Positions'!K55</x:f>
        <x:v>146863.92325257155</x:v>
      </x:c>
      <x:c r="D21" s="43" t="n">
        <x:f>'Positions'!M55</x:f>
        <x:v>146863.92325257155</x:v>
      </x:c>
      <x:c r="E21" s="43" t="n">
        <x:f>'Positions'!L55</x:f>
        <x:v>146863.92325257155</x:v>
      </x:c>
      <x:c r="F21" s="53" t="n">
        <x:f>E21-D21</x:f>
        <x:v>0</x:v>
      </x:c>
      <x:c r="G21" s="38"/>
      <x:c r="H21" s="38"/>
      <x:c r="I21" s="38"/>
      <x:c r="J21" s="38"/>
      <x:c r="K21" s="38"/>
      <x:c r="L21" s="38"/>
      <x:c r="M21" s="38"/>
      <x:c r="N21" s="38"/>
      <x:c r="O21" s="38"/>
      <x:c r="P21" s="38"/>
      <x:c r="Q21" s="38"/>
      <x:c r="R21" s="38"/>
      <x:c r="S21" s="38"/>
      <x:c r="T21" s="38"/>
      <x:c r="U21" s="38"/>
    </x:row>
    <x:row r="22" ht="23" customHeight="1">
      <x:c r="A22" s="38"/>
      <x:c r="B22" s="38" t="str">
        <x:v>Renewables</x:v>
      </x:c>
      <x:c r="C22" s="43" t="n">
        <x:f>'Positions'!K56</x:f>
        <x:v>96776.19235359292</x:v>
      </x:c>
      <x:c r="D22" s="43" t="n">
        <x:f>'Positions'!M56</x:f>
        <x:v>137134.9014430762</x:v>
      </x:c>
      <x:c r="E22" s="43" t="n">
        <x:f>'Positions'!L56</x:f>
        <x:v>137134.9014430762</x:v>
      </x:c>
      <x:c r="F22" s="53" t="n">
        <x:f>E22-D22</x:f>
        <x:v>0</x:v>
      </x:c>
      <x:c r="G22" s="38"/>
      <x:c r="H22" s="38"/>
      <x:c r="I22" s="38"/>
      <x:c r="J22" s="38"/>
      <x:c r="K22" s="38"/>
      <x:c r="L22" s="38"/>
      <x:c r="M22" s="38"/>
      <x:c r="N22" s="38"/>
      <x:c r="O22" s="38"/>
      <x:c r="P22" s="38"/>
      <x:c r="Q22" s="38"/>
      <x:c r="R22" s="38"/>
      <x:c r="S22" s="38"/>
      <x:c r="T22" s="38"/>
      <x:c r="U22" s="38"/>
    </x:row>
    <x:row r="23" ht="23" customHeight="1">
      <x:c r="A23" s="38"/>
      <x:c r="B23" s="38" t="str">
        <x:v>Consumer Discretionary</x:v>
      </x:c>
      <x:c r="C23" s="43" t="n">
        <x:f>'Positions'!K57</x:f>
        <x:v>48244.12281415637</x:v>
      </x:c>
      <x:c r="D23" s="43" t="n">
        <x:f>'Positions'!M57</x:f>
        <x:v>48244.12281415637</x:v>
      </x:c>
      <x:c r="E23" s="43" t="n">
        <x:f>'Positions'!L57</x:f>
        <x:v>48244.12281415637</x:v>
      </x:c>
      <x:c r="F23" s="53" t="n">
        <x:f>E23-D23</x:f>
        <x:v>0</x:v>
      </x:c>
      <x:c r="G23" s="38"/>
      <x:c r="H23" s="38"/>
      <x:c r="I23" s="38"/>
      <x:c r="J23" s="38"/>
      <x:c r="K23" s="38"/>
      <x:c r="L23" s="38"/>
      <x:c r="M23" s="38"/>
      <x:c r="N23" s="38"/>
      <x:c r="O23" s="38"/>
      <x:c r="P23" s="38"/>
      <x:c r="Q23" s="38"/>
      <x:c r="R23" s="38"/>
      <x:c r="S23" s="38"/>
      <x:c r="T23" s="38"/>
      <x:c r="U23" s="38"/>
    </x:row>
    <x:row r="24" ht="23" customHeight="1">
      <x:c r="A24" s="38"/>
      <x:c r="B24" s="38" t="str">
        <x:v>Cash</x:v>
      </x:c>
      <x:c r="C24" s="43" t="n">
        <x:f>'Positions'!K58</x:f>
        <x:v>89500</x:v>
      </x:c>
      <x:c r="D24" s="43" t="n">
        <x:f>'Positions'!M58</x:f>
        <x:v>49250</x:v>
      </x:c>
      <x:c r="E24" s="43" t="n">
        <x:f>'Positions'!L58</x:f>
        <x:v>49250</x:v>
      </x:c>
      <x:c r="F24" s="53" t="n">
        <x:f>E24-D24</x:f>
        <x:v>0</x:v>
      </x:c>
      <x:c r="G24" s="38"/>
      <x:c r="H24" s="38"/>
      <x:c r="I24" s="38"/>
      <x:c r="J24" s="38"/>
      <x:c r="K24" s="38"/>
      <x:c r="L24" s="38"/>
      <x:c r="M24" s="38"/>
      <x:c r="N24" s="38"/>
      <x:c r="O24" s="38"/>
      <x:c r="P24" s="38"/>
      <x:c r="Q24" s="38"/>
      <x:c r="R24" s="38"/>
      <x:c r="S24" s="38"/>
      <x:c r="T24" s="38"/>
      <x:c r="U24" s="38"/>
    </x:row>
    <x:row r="25" ht="23" customHeight="1">
      <x:c r="A25" s="38"/>
      <x:c r="B25" s="60" t="str">
        <x:v>Total</x:v>
      </x:c>
      <x:c r="C25" s="61" t="n">
        <x:f>SUM(C18:C24)</x:f>
        <x:v>1066039.974033901</x:v>
      </x:c>
      <x:c r="D25" s="61" t="n">
        <x:f>SUM(D18:D24)</x:f>
        <x:v>1059338.9612378185</x:v>
      </x:c>
      <x:c r="E25" s="61" t="n">
        <x:f>SUM(E18:E24)</x:f>
        <x:v>1059338.9612378185</x:v>
      </x:c>
      <x:c r="F25" s="61" t="n">
        <x:f>SUM(F18:F24)</x:f>
        <x:v>0</x:v>
      </x:c>
      <x:c r="G25" s="38"/>
      <x:c r="H25" s="38"/>
      <x:c r="I25" s="38"/>
      <x:c r="J25" s="38"/>
      <x:c r="K25" s="38"/>
      <x:c r="L25" s="38"/>
      <x:c r="M25" s="38"/>
      <x:c r="N25" s="38"/>
      <x:c r="O25" s="38"/>
      <x:c r="P25" s="38"/>
      <x:c r="Q25" s="38"/>
      <x:c r="R25" s="38"/>
      <x:c r="S25" s="38"/>
      <x:c r="T25" s="38"/>
      <x:c r="U25" s="38"/>
    </x:row>
    <x:row r="26" ht="23" customHeight="1">
      <x:c r="A26" s="38"/>
      <x:c r="B26" s="38"/>
      <x:c r="C26" s="38"/>
      <x:c r="D26" s="38"/>
      <x:c r="E26" s="38"/>
      <x:c r="F26" s="38"/>
      <x:c r="G26" s="38"/>
      <x:c r="H26" s="38"/>
      <x:c r="I26" s="38"/>
      <x:c r="J26" s="38"/>
      <x:c r="K26" s="38"/>
      <x:c r="L26" s="38"/>
      <x:c r="M26" s="38"/>
      <x:c r="N26" s="38"/>
      <x:c r="O26" s="38"/>
      <x:c r="P26" s="38"/>
      <x:c r="Q26" s="38"/>
      <x:c r="R26" s="38"/>
      <x:c r="S26" s="38"/>
      <x:c r="T26" s="38"/>
      <x:c r="U26" s="38"/>
    </x:row>
    <x:row r="27" ht="23" customHeight="1">
      <x:c r="A27" s="38"/>
      <x:c r="B27" s="38"/>
      <x:c r="C27" s="38"/>
      <x:c r="D27" s="38"/>
      <x:c r="E27" s="38"/>
      <x:c r="F27" s="38"/>
      <x:c r="G27" s="38"/>
      <x:c r="H27" s="38"/>
      <x:c r="I27" s="38"/>
      <x:c r="J27" s="38"/>
      <x:c r="K27" s="38"/>
      <x:c r="L27" s="38"/>
      <x:c r="M27" s="38"/>
      <x:c r="N27" s="38"/>
      <x:c r="O27" s="38"/>
      <x:c r="P27" s="38"/>
      <x:c r="Q27" s="38"/>
      <x:c r="R27" s="38"/>
      <x:c r="S27" s="38"/>
      <x:c r="T27" s="38"/>
      <x:c r="U27" s="38"/>
    </x:row>
    <x:row r="28" ht="23" customHeight="1">
      <x:c r="A28" s="38"/>
      <x:c r="B28" s="38"/>
      <x:c r="C28" s="38"/>
      <x:c r="D28" s="38"/>
      <x:c r="E28" s="38"/>
      <x:c r="F28" s="38"/>
      <x:c r="G28" s="38"/>
      <x:c r="H28" s="38"/>
      <x:c r="I28" s="38"/>
      <x:c r="J28" s="38"/>
      <x:c r="K28" s="38"/>
      <x:c r="L28" s="38"/>
      <x:c r="M28" s="38"/>
      <x:c r="N28" s="38"/>
      <x:c r="O28" s="38"/>
      <x:c r="P28" s="38"/>
      <x:c r="Q28" s="38"/>
      <x:c r="R28" s="38"/>
      <x:c r="S28" s="38"/>
      <x:c r="T28" s="38"/>
      <x:c r="U28" s="38"/>
    </x:row>
    <x:row r="29" ht="34" customHeight="1">
      <x:c r="A29" s="38"/>
      <x:c r="B29" s="41" t="str">
        <x:v>Control</x:v>
      </x:c>
      <x:c r="C29" s="41" t="str">
        <x:v>Result</x:v>
      </x:c>
      <x:c r="D29" s="41" t="str">
        <x:v>Tolerance / expected</x:v>
      </x:c>
      <x:c r="E29" s="38"/>
      <x:c r="F29" s="38"/>
      <x:c r="G29" s="38"/>
      <x:c r="H29" s="38"/>
      <x:c r="I29" s="38"/>
      <x:c r="J29" s="38"/>
      <x:c r="K29" s="38"/>
      <x:c r="L29" s="38"/>
      <x:c r="M29" s="38"/>
      <x:c r="N29" s="38"/>
      <x:c r="O29" s="38"/>
      <x:c r="P29" s="38"/>
      <x:c r="Q29" s="38"/>
      <x:c r="R29" s="38"/>
      <x:c r="S29" s="38"/>
      <x:c r="T29" s="38"/>
      <x:c r="U29" s="38"/>
    </x:row>
    <x:row r="30" ht="38" customHeight="1">
      <x:c r="A30" s="38"/>
      <x:c r="B30" s="49" t="str">
        <x:v>Closing NAV residual</x:v>
      </x:c>
      <x:c r="C30" s="62" t="n">
        <x:f>F25</x:f>
        <x:v>0</x:v>
      </x:c>
      <x:c r="D30" s="49" t="str">
        <x:v>±$0.01</x:v>
      </x:c>
      <x:c r="E30" s="38"/>
      <x:c r="F30" s="38"/>
      <x:c r="G30" s="38"/>
      <x:c r="H30" s="38"/>
      <x:c r="I30" s="38"/>
      <x:c r="J30" s="38"/>
      <x:c r="K30" s="38"/>
      <x:c r="L30" s="38"/>
      <x:c r="M30" s="38"/>
      <x:c r="N30" s="38"/>
      <x:c r="O30" s="38"/>
      <x:c r="P30" s="38"/>
      <x:c r="Q30" s="38"/>
      <x:c r="R30" s="38"/>
      <x:c r="S30" s="38"/>
      <x:c r="T30" s="38"/>
      <x:c r="U30" s="38"/>
    </x:row>
    <x:row r="31" ht="38" customHeight="1">
      <x:c r="A31" s="38"/>
      <x:c r="B31" s="49" t="str">
        <x:v>All-date valuation residual</x:v>
      </x:c>
      <x:c r="C31" s="63" t="n">
        <x:f>SUMSQ('Positions'!O10:O58)</x:f>
        <x:v>0</x:v>
      </x:c>
      <x:c r="D31" s="49" t="str">
        <x:v>0, sum of squared dollar differences</x:v>
      </x:c>
      <x:c r="E31" s="38"/>
      <x:c r="F31" s="38"/>
      <x:c r="G31" s="38"/>
      <x:c r="H31" s="38"/>
      <x:c r="I31" s="38"/>
      <x:c r="J31" s="38"/>
      <x:c r="K31" s="38"/>
      <x:c r="L31" s="38"/>
      <x:c r="M31" s="38"/>
      <x:c r="N31" s="38"/>
      <x:c r="O31" s="38"/>
      <x:c r="P31" s="38"/>
      <x:c r="Q31" s="38"/>
      <x:c r="R31" s="38"/>
      <x:c r="S31" s="38"/>
      <x:c r="T31" s="38"/>
      <x:c r="U31" s="38"/>
    </x:row>
    <x:row r="32" ht="38" customHeight="1">
      <x:c r="A32" s="38"/>
      <x:c r="B32" s="49" t="str">
        <x:v>Net external flows</x:v>
      </x:c>
      <x:c r="C32" s="63" t="n">
        <x:f>SUM('Performance'!H11:H16)</x:f>
        <x:v>50000</x:v>
      </x:c>
      <x:c r="D32" s="49" t="str">
        <x:v>$50,000</x:v>
      </x:c>
      <x:c r="E32" s="38"/>
      <x:c r="F32" s="38"/>
      <x:c r="G32" s="38"/>
      <x:c r="H32" s="38"/>
      <x:c r="I32" s="38"/>
      <x:c r="J32" s="38"/>
      <x:c r="K32" s="38"/>
      <x:c r="L32" s="38"/>
      <x:c r="M32" s="38"/>
      <x:c r="N32" s="38"/>
      <x:c r="O32" s="38"/>
      <x:c r="P32" s="38"/>
      <x:c r="Q32" s="38"/>
      <x:c r="R32" s="38"/>
      <x:c r="S32" s="38"/>
      <x:c r="T32" s="38"/>
      <x:c r="U32" s="38"/>
    </x:row>
    <x:row r="33" ht="38" customHeight="1">
      <x:c r="A33" s="38"/>
      <x:c r="B33" s="49" t="str">
        <x:v>Recorded fees</x:v>
      </x:c>
      <x:c r="C33" s="63" t="n">
        <x:f>'Performance'!C28</x:f>
        <x:v>750</x:v>
      </x:c>
      <x:c r="D33" s="49" t="str">
        <x:v>$750</x:v>
      </x:c>
      <x:c r="E33" s="38"/>
      <x:c r="F33" s="38"/>
      <x:c r="G33" s="38"/>
      <x:c r="H33" s="38"/>
      <x:c r="I33" s="38"/>
      <x:c r="J33" s="38"/>
      <x:c r="K33" s="38"/>
      <x:c r="L33" s="38"/>
      <x:c r="M33" s="38"/>
      <x:c r="N33" s="38"/>
      <x:c r="O33" s="38"/>
      <x:c r="P33" s="38"/>
      <x:c r="Q33" s="38"/>
      <x:c r="R33" s="38"/>
      <x:c r="S33" s="38"/>
      <x:c r="T33" s="38"/>
      <x:c r="U33" s="38"/>
    </x:row>
    <x:row r="34" ht="38" customHeight="1">
      <x:c r="A34" s="38"/>
      <x:c r="B34" s="49" t="str">
        <x:v>Maximum absolute return difference (bps)</x:v>
      </x:c>
      <x:c r="C34" s="63" t="n">
        <x:f>MAX(MAX('Performance'!N11:N16),-MIN('Performance'!N11:N16))</x:f>
        <x:v>0.00004671081649514769</x:v>
      </x:c>
      <x:c r="D34" s="49" t="str">
        <x:v>&lt;0.001 bps</x:v>
      </x:c>
      <x:c r="E34" s="38"/>
      <x:c r="F34" s="38"/>
      <x:c r="G34" s="38"/>
      <x:c r="H34" s="38"/>
      <x:c r="I34" s="38"/>
      <x:c r="J34" s="38"/>
      <x:c r="K34" s="38"/>
      <x:c r="L34" s="38"/>
      <x:c r="M34" s="38"/>
      <x:c r="N34" s="38"/>
      <x:c r="O34" s="38"/>
      <x:c r="P34" s="38"/>
      <x:c r="Q34" s="38"/>
      <x:c r="R34" s="38"/>
      <x:c r="S34" s="38"/>
      <x:c r="T34" s="38"/>
      <x:c r="U34" s="38"/>
    </x:row>
    <x:row r="35" ht="38" customHeight="1">
      <x:c r="A35" s="38"/>
      <x:c r="B35" s="49" t="str">
        <x:v>Cash roll-forward difference</x:v>
      </x:c>
      <x:c r="C35" s="63" t="n">
        <x:f>'Positions'!L58-(50000+SUM('Transactions'!I24:I29)+SUM('Transactions'!I36:I38))</x:f>
        <x:v>0</x:v>
      </x:c>
      <x:c r="D35" s="49" t="str">
        <x:v>±$0.01</x:v>
      </x:c>
      <x:c r="E35" s="38"/>
      <x:c r="F35" s="38"/>
      <x:c r="G35" s="38"/>
      <x:c r="H35" s="38"/>
      <x:c r="I35" s="38"/>
      <x:c r="J35" s="38"/>
      <x:c r="K35" s="38"/>
      <x:c r="L35" s="38"/>
      <x:c r="M35" s="38"/>
      <x:c r="N35" s="38"/>
      <x:c r="O35" s="38"/>
      <x:c r="P35" s="38"/>
      <x:c r="Q35" s="38"/>
      <x:c r="R35" s="38"/>
      <x:c r="S35" s="38"/>
      <x:c r="T35" s="38"/>
      <x:c r="U35" s="38"/>
    </x:row>
    <x:row r="36" ht="23" customHeight="1">
      <x:c r="A36" s="38"/>
      <x:c r="B36" s="38"/>
      <x:c r="C36" s="38"/>
      <x:c r="D36" s="38"/>
      <x:c r="E36" s="38"/>
      <x:c r="F36" s="38"/>
      <x:c r="G36" s="38"/>
      <x:c r="H36" s="38"/>
      <x:c r="I36" s="38"/>
      <x:c r="J36" s="38"/>
      <x:c r="K36" s="38"/>
      <x:c r="L36" s="38"/>
      <x:c r="M36" s="38"/>
      <x:c r="N36" s="38"/>
      <x:c r="O36" s="38"/>
      <x:c r="P36" s="38"/>
      <x:c r="Q36" s="38"/>
      <x:c r="R36" s="38"/>
      <x:c r="S36" s="38"/>
      <x:c r="T36" s="38"/>
      <x:c r="U36" s="38"/>
    </x:row>
    <x:row r="37" ht="23" customHeight="1">
      <x:c r="A37" s="38"/>
      <x:c r="B37" s="38"/>
      <x:c r="C37" s="38"/>
      <x:c r="D37" s="38"/>
      <x:c r="E37" s="38"/>
      <x:c r="F37" s="38"/>
      <x:c r="G37" s="38"/>
      <x:c r="H37" s="38"/>
      <x:c r="I37" s="38"/>
      <x:c r="J37" s="38"/>
      <x:c r="K37" s="38"/>
      <x:c r="L37" s="38"/>
      <x:c r="M37" s="38"/>
      <x:c r="N37" s="38"/>
      <x:c r="O37" s="38"/>
      <x:c r="P37" s="38"/>
      <x:c r="Q37" s="38"/>
      <x:c r="R37" s="38"/>
      <x:c r="S37" s="38"/>
      <x:c r="T37" s="38"/>
      <x:c r="U37" s="38"/>
    </x:row>
    <x:row r="38" ht="23" customHeight="1">
      <x:c r="A38" s="38"/>
      <x:c r="B38" s="38"/>
      <x:c r="C38" s="38"/>
      <x:c r="D38" s="38"/>
      <x:c r="E38" s="38"/>
      <x:c r="F38" s="38"/>
      <x:c r="G38" s="38"/>
      <x:c r="H38" s="38"/>
      <x:c r="I38" s="38"/>
      <x:c r="J38" s="38"/>
      <x:c r="K38" s="38"/>
      <x:c r="L38" s="38"/>
      <x:c r="M38" s="38"/>
      <x:c r="N38" s="38"/>
      <x:c r="O38" s="38"/>
      <x:c r="P38" s="38"/>
      <x:c r="Q38" s="38"/>
      <x:c r="R38" s="38"/>
      <x:c r="S38" s="38"/>
      <x:c r="T38" s="38"/>
      <x:c r="U38" s="38"/>
    </x:row>
    <x:row r="39" ht="23" customHeight="1">
      <x:c r="A39" s="38"/>
      <x:c r="B39" s="38"/>
      <x:c r="C39" s="38"/>
      <x:c r="D39" s="38"/>
      <x:c r="E39" s="38"/>
      <x:c r="F39" s="38"/>
      <x:c r="G39" s="38"/>
      <x:c r="H39" s="38"/>
      <x:c r="I39" s="38"/>
      <x:c r="J39" s="38"/>
      <x:c r="K39" s="38"/>
      <x:c r="L39" s="38"/>
      <x:c r="M39" s="38"/>
      <x:c r="N39" s="38"/>
      <x:c r="O39" s="38"/>
      <x:c r="P39" s="38"/>
      <x:c r="Q39" s="38"/>
      <x:c r="R39" s="38"/>
      <x:c r="S39" s="38"/>
      <x:c r="T39" s="38"/>
      <x:c r="U39" s="38"/>
    </x:row>
    <x:row r="40" ht="23" customHeight="1">
      <x:c r="A40" s="38"/>
      <x:c r="B40" s="38"/>
      <x:c r="C40" s="38"/>
      <x:c r="D40" s="38"/>
      <x:c r="E40" s="38"/>
      <x:c r="F40" s="38"/>
      <x:c r="G40" s="38"/>
      <x:c r="H40" s="38"/>
      <x:c r="I40" s="38"/>
      <x:c r="J40" s="38"/>
      <x:c r="K40" s="38"/>
      <x:c r="L40" s="38"/>
      <x:c r="M40" s="38"/>
      <x:c r="N40" s="38"/>
      <x:c r="O40" s="38"/>
      <x:c r="P40" s="38"/>
      <x:c r="Q40" s="38"/>
      <x:c r="R40" s="38"/>
      <x:c r="S40" s="38"/>
      <x:c r="T40" s="38"/>
      <x:c r="U40" s="38"/>
    </x:row>
    <x:row r="41" ht="23" customHeight="1">
      <x:c r="A41" s="38"/>
      <x:c r="B41" s="38"/>
      <x:c r="C41" s="38"/>
      <x:c r="D41" s="38"/>
      <x:c r="E41" s="38"/>
      <x:c r="F41" s="38"/>
      <x:c r="G41" s="38"/>
      <x:c r="H41" s="38"/>
      <x:c r="I41" s="38"/>
      <x:c r="J41" s="38"/>
      <x:c r="K41" s="38"/>
      <x:c r="L41" s="38"/>
      <x:c r="M41" s="38"/>
      <x:c r="N41" s="38"/>
      <x:c r="O41" s="38"/>
      <x:c r="P41" s="38"/>
      <x:c r="Q41" s="38"/>
      <x:c r="R41" s="38"/>
      <x:c r="S41" s="38"/>
      <x:c r="T41" s="38"/>
      <x:c r="U41" s="38"/>
    </x:row>
    <x:row r="42" ht="23" customHeight="1">
      <x:c r="A42" s="38"/>
      <x:c r="B42" s="38"/>
      <x:c r="C42" s="38"/>
      <x:c r="D42" s="38"/>
      <x:c r="E42" s="38"/>
      <x:c r="F42" s="38"/>
      <x:c r="G42" s="38"/>
      <x:c r="H42" s="38"/>
      <x:c r="I42" s="38"/>
      <x:c r="J42" s="38"/>
      <x:c r="K42" s="38"/>
      <x:c r="L42" s="38"/>
      <x:c r="M42" s="38"/>
      <x:c r="N42" s="38"/>
      <x:c r="O42" s="38"/>
      <x:c r="P42" s="38"/>
      <x:c r="Q42" s="38"/>
      <x:c r="R42" s="38"/>
      <x:c r="S42" s="38"/>
      <x:c r="T42" s="38"/>
      <x:c r="U42" s="38"/>
    </x:row>
    <x:row r="43" ht="23" customHeight="1">
      <x:c r="A43" s="38"/>
      <x:c r="B43" s="38"/>
      <x:c r="C43" s="38"/>
      <x:c r="D43" s="38"/>
      <x:c r="E43" s="38"/>
      <x:c r="F43" s="38"/>
      <x:c r="G43" s="38"/>
      <x:c r="H43" s="38"/>
      <x:c r="I43" s="38"/>
      <x:c r="J43" s="38"/>
      <x:c r="K43" s="38"/>
      <x:c r="L43" s="38"/>
      <x:c r="M43" s="38"/>
      <x:c r="N43" s="38"/>
      <x:c r="O43" s="38"/>
      <x:c r="P43" s="38"/>
      <x:c r="Q43" s="38"/>
      <x:c r="R43" s="38"/>
      <x:c r="S43" s="38"/>
      <x:c r="T43" s="38"/>
      <x:c r="U43" s="38"/>
    </x:row>
    <x:row r="44" ht="23" customHeight="1">
      <x:c r="A44" s="38"/>
      <x:c r="B44" s="38"/>
      <x:c r="C44" s="38"/>
      <x:c r="D44" s="38"/>
      <x:c r="E44" s="38"/>
      <x:c r="F44" s="38"/>
      <x:c r="G44" s="38"/>
      <x:c r="H44" s="38"/>
      <x:c r="I44" s="38"/>
      <x:c r="J44" s="38"/>
      <x:c r="K44" s="38"/>
      <x:c r="L44" s="38"/>
      <x:c r="M44" s="38"/>
      <x:c r="N44" s="38"/>
      <x:c r="O44" s="38"/>
      <x:c r="P44" s="38"/>
      <x:c r="Q44" s="38"/>
      <x:c r="R44" s="38"/>
      <x:c r="S44" s="38"/>
      <x:c r="T44" s="38"/>
      <x:c r="U44" s="38"/>
    </x:row>
    <x:row r="45" ht="23" customHeight="1">
      <x:c r="A45" s="38"/>
      <x:c r="B45" s="38"/>
      <x:c r="C45" s="38"/>
      <x:c r="D45" s="38"/>
      <x:c r="E45" s="38"/>
      <x:c r="F45" s="38"/>
      <x:c r="G45" s="38"/>
      <x:c r="H45" s="38"/>
      <x:c r="I45" s="38"/>
      <x:c r="J45" s="38"/>
      <x:c r="K45" s="38"/>
      <x:c r="L45" s="38"/>
      <x:c r="M45" s="38"/>
      <x:c r="N45" s="38"/>
      <x:c r="O45" s="38"/>
      <x:c r="P45" s="38"/>
      <x:c r="Q45" s="38"/>
      <x:c r="R45" s="38"/>
      <x:c r="S45" s="38"/>
      <x:c r="T45" s="38"/>
      <x:c r="U45" s="38"/>
    </x:row>
    <x:row r="46" ht="23" customHeight="1">
      <x:c r="A46" s="38"/>
      <x:c r="B46" s="38"/>
      <x:c r="C46" s="38"/>
      <x:c r="D46" s="38"/>
      <x:c r="E46" s="38"/>
      <x:c r="F46" s="38"/>
      <x:c r="G46" s="38"/>
      <x:c r="H46" s="38"/>
      <x:c r="I46" s="38"/>
      <x:c r="J46" s="38"/>
      <x:c r="K46" s="38"/>
      <x:c r="L46" s="38"/>
      <x:c r="M46" s="38"/>
      <x:c r="N46" s="38"/>
      <x:c r="O46" s="38"/>
      <x:c r="P46" s="38"/>
      <x:c r="Q46" s="38"/>
      <x:c r="R46" s="38"/>
      <x:c r="S46" s="38"/>
      <x:c r="T46" s="38"/>
      <x:c r="U46" s="38"/>
    </x:row>
    <x:row r="47" ht="23" customHeight="1">
      <x:c r="A47" s="38"/>
      <x:c r="B47" s="38"/>
      <x:c r="C47" s="38"/>
      <x:c r="D47" s="38"/>
      <x:c r="E47" s="38"/>
      <x:c r="F47" s="38"/>
      <x:c r="G47" s="38"/>
      <x:c r="H47" s="38"/>
      <x:c r="I47" s="38"/>
      <x:c r="J47" s="38"/>
      <x:c r="K47" s="38"/>
      <x:c r="L47" s="38"/>
      <x:c r="M47" s="38"/>
      <x:c r="N47" s="38"/>
      <x:c r="O47" s="38"/>
      <x:c r="P47" s="38"/>
      <x:c r="Q47" s="38"/>
      <x:c r="R47" s="38"/>
      <x:c r="S47" s="38"/>
      <x:c r="T47" s="38"/>
      <x:c r="U47" s="38"/>
    </x:row>
    <x:row r="48" ht="23" customHeight="1">
      <x:c r="A48" s="38"/>
      <x:c r="B48" s="38"/>
      <x:c r="C48" s="38"/>
      <x:c r="D48" s="38"/>
      <x:c r="E48" s="38"/>
      <x:c r="F48" s="38"/>
      <x:c r="G48" s="38"/>
      <x:c r="H48" s="38"/>
      <x:c r="I48" s="38"/>
      <x:c r="J48" s="38"/>
      <x:c r="K48" s="38"/>
      <x:c r="L48" s="38"/>
      <x:c r="M48" s="38"/>
      <x:c r="N48" s="38"/>
      <x:c r="O48" s="38"/>
      <x:c r="P48" s="38"/>
      <x:c r="Q48" s="38"/>
      <x:c r="R48" s="38"/>
      <x:c r="S48" s="38"/>
      <x:c r="T48" s="38"/>
      <x:c r="U48" s="38"/>
    </x:row>
    <x:row r="49" ht="23" customHeight="1">
      <x:c r="A49" s="38"/>
      <x:c r="B49" s="38"/>
      <x:c r="C49" s="38"/>
      <x:c r="D49" s="38"/>
      <x:c r="E49" s="38"/>
      <x:c r="F49" s="38"/>
      <x:c r="G49" s="38"/>
      <x:c r="H49" s="38"/>
      <x:c r="I49" s="38"/>
      <x:c r="J49" s="38"/>
      <x:c r="K49" s="38"/>
      <x:c r="L49" s="38"/>
      <x:c r="M49" s="38"/>
      <x:c r="N49" s="38"/>
      <x:c r="O49" s="38"/>
      <x:c r="P49" s="38"/>
      <x:c r="Q49" s="38"/>
      <x:c r="R49" s="38"/>
      <x:c r="S49" s="38"/>
      <x:c r="T49" s="38"/>
      <x:c r="U49" s="38"/>
    </x:row>
    <x:row r="50" ht="23" customHeight="1">
      <x:c r="A50" s="38"/>
      <x:c r="B50" s="38"/>
      <x:c r="C50" s="38"/>
      <x:c r="D50" s="38"/>
      <x:c r="E50" s="38"/>
      <x:c r="F50" s="38"/>
      <x:c r="G50" s="38"/>
      <x:c r="H50" s="38"/>
      <x:c r="I50" s="38"/>
      <x:c r="J50" s="38"/>
      <x:c r="K50" s="38"/>
      <x:c r="L50" s="38"/>
      <x:c r="M50" s="38"/>
      <x:c r="N50" s="38"/>
      <x:c r="O50" s="38"/>
      <x:c r="P50" s="38"/>
      <x:c r="Q50" s="38"/>
      <x:c r="R50" s="38"/>
      <x:c r="S50" s="38"/>
      <x:c r="T50" s="38"/>
      <x:c r="U50" s="38"/>
    </x:row>
    <x:row r="51" ht="23" customHeight="1">
      <x:c r="A51" s="38"/>
      <x:c r="B51" s="38"/>
      <x:c r="C51" s="38"/>
      <x:c r="D51" s="38"/>
      <x:c r="E51" s="38"/>
      <x:c r="F51" s="38"/>
      <x:c r="G51" s="38"/>
      <x:c r="H51" s="38"/>
      <x:c r="I51" s="38"/>
      <x:c r="J51" s="38"/>
      <x:c r="K51" s="38"/>
      <x:c r="L51" s="38"/>
      <x:c r="M51" s="38"/>
      <x:c r="N51" s="38"/>
      <x:c r="O51" s="38"/>
      <x:c r="P51" s="38"/>
      <x:c r="Q51" s="38"/>
      <x:c r="R51" s="38"/>
      <x:c r="S51" s="38"/>
      <x:c r="T51" s="38"/>
      <x:c r="U51" s="38"/>
    </x:row>
    <x:row r="52" ht="23" customHeight="1">
      <x:c r="A52" s="38"/>
      <x:c r="B52" s="38"/>
      <x:c r="C52" s="38"/>
      <x:c r="D52" s="38"/>
      <x:c r="E52" s="38"/>
      <x:c r="F52" s="38"/>
      <x:c r="G52" s="38"/>
      <x:c r="H52" s="38"/>
      <x:c r="I52" s="38"/>
      <x:c r="J52" s="38"/>
      <x:c r="K52" s="38"/>
      <x:c r="L52" s="38"/>
      <x:c r="M52" s="38"/>
      <x:c r="N52" s="38"/>
      <x:c r="O52" s="38"/>
      <x:c r="P52" s="38"/>
      <x:c r="Q52" s="38"/>
      <x:c r="R52" s="38"/>
      <x:c r="S52" s="38"/>
      <x:c r="T52" s="38"/>
      <x:c r="U52" s="38"/>
    </x:row>
    <x:row r="53" ht="23" customHeight="1">
      <x:c r="A53" s="38"/>
      <x:c r="B53" s="38"/>
      <x:c r="C53" s="38"/>
      <x:c r="D53" s="38"/>
      <x:c r="E53" s="38"/>
      <x:c r="F53" s="38"/>
      <x:c r="G53" s="38"/>
      <x:c r="H53" s="38"/>
      <x:c r="I53" s="38"/>
      <x:c r="J53" s="38"/>
      <x:c r="K53" s="38"/>
      <x:c r="L53" s="38"/>
      <x:c r="M53" s="38"/>
      <x:c r="N53" s="38"/>
      <x:c r="O53" s="38"/>
      <x:c r="P53" s="38"/>
      <x:c r="Q53" s="38"/>
      <x:c r="R53" s="38"/>
      <x:c r="S53" s="38"/>
      <x:c r="T53" s="38"/>
      <x:c r="U53" s="38"/>
    </x:row>
    <x:row r="54" ht="23" customHeight="1">
      <x:c r="A54" s="38"/>
      <x:c r="B54" s="38"/>
      <x:c r="C54" s="38"/>
      <x:c r="D54" s="38"/>
      <x:c r="E54" s="38"/>
      <x:c r="F54" s="38"/>
      <x:c r="G54" s="38"/>
      <x:c r="H54" s="38"/>
      <x:c r="I54" s="38"/>
      <x:c r="J54" s="38"/>
      <x:c r="K54" s="38"/>
      <x:c r="L54" s="38"/>
      <x:c r="M54" s="38"/>
      <x:c r="N54" s="38"/>
      <x:c r="O54" s="38"/>
      <x:c r="P54" s="38"/>
      <x:c r="Q54" s="38"/>
      <x:c r="R54" s="38"/>
      <x:c r="S54" s="38"/>
      <x:c r="T54" s="38"/>
      <x:c r="U54" s="38"/>
    </x:row>
    <x:row r="55" ht="23" customHeight="1">
      <x:c r="A55" s="38"/>
      <x:c r="B55" s="38"/>
      <x:c r="C55" s="38"/>
      <x:c r="D55" s="38"/>
      <x:c r="E55" s="38"/>
      <x:c r="F55" s="38"/>
      <x:c r="G55" s="38"/>
      <x:c r="H55" s="38"/>
      <x:c r="I55" s="38"/>
      <x:c r="J55" s="38"/>
      <x:c r="K55" s="38"/>
      <x:c r="L55" s="38"/>
      <x:c r="M55" s="38"/>
      <x:c r="N55" s="38"/>
      <x:c r="O55" s="38"/>
      <x:c r="P55" s="38"/>
      <x:c r="Q55" s="38"/>
      <x:c r="R55" s="38"/>
      <x:c r="S55" s="38"/>
      <x:c r="T55" s="38"/>
      <x:c r="U55" s="38"/>
    </x:row>
    <x:row r="56" ht="23" customHeight="1">
      <x:c r="A56" s="38"/>
      <x:c r="B56" s="38"/>
      <x:c r="C56" s="38"/>
      <x:c r="D56" s="38"/>
      <x:c r="E56" s="38"/>
      <x:c r="F56" s="38"/>
      <x:c r="G56" s="38"/>
      <x:c r="H56" s="38"/>
      <x:c r="I56" s="38"/>
      <x:c r="J56" s="38"/>
      <x:c r="K56" s="38"/>
      <x:c r="L56" s="38"/>
      <x:c r="M56" s="38"/>
      <x:c r="N56" s="38"/>
      <x:c r="O56" s="38"/>
      <x:c r="P56" s="38"/>
      <x:c r="Q56" s="38"/>
      <x:c r="R56" s="38"/>
      <x:c r="S56" s="38"/>
      <x:c r="T56" s="38"/>
      <x:c r="U56" s="38"/>
    </x:row>
    <x:row r="57" ht="23" customHeight="1">
      <x:c r="A57" s="38"/>
      <x:c r="B57" s="38"/>
      <x:c r="C57" s="38"/>
      <x:c r="D57" s="38"/>
      <x:c r="E57" s="38"/>
      <x:c r="F57" s="38"/>
      <x:c r="G57" s="38"/>
      <x:c r="H57" s="38"/>
      <x:c r="I57" s="38"/>
      <x:c r="J57" s="38"/>
      <x:c r="K57" s="38"/>
      <x:c r="L57" s="38"/>
      <x:c r="M57" s="38"/>
      <x:c r="N57" s="38"/>
      <x:c r="O57" s="38"/>
      <x:c r="P57" s="38"/>
      <x:c r="Q57" s="38"/>
      <x:c r="R57" s="38"/>
      <x:c r="S57" s="38"/>
      <x:c r="T57" s="38"/>
      <x:c r="U57" s="38"/>
    </x:row>
    <x:row r="58" ht="23" customHeight="1">
      <x:c r="A58" s="38"/>
      <x:c r="B58" s="38"/>
      <x:c r="C58" s="38"/>
      <x:c r="D58" s="38"/>
      <x:c r="E58" s="38"/>
      <x:c r="F58" s="38"/>
      <x:c r="G58" s="38"/>
      <x:c r="H58" s="38"/>
      <x:c r="I58" s="38"/>
      <x:c r="J58" s="38"/>
      <x:c r="K58" s="38"/>
      <x:c r="L58" s="38"/>
      <x:c r="M58" s="38"/>
      <x:c r="N58" s="38"/>
      <x:c r="O58" s="38"/>
      <x:c r="P58" s="38"/>
      <x:c r="Q58" s="38"/>
      <x:c r="R58" s="38"/>
      <x:c r="S58" s="38"/>
      <x:c r="T58" s="38"/>
      <x:c r="U58" s="38"/>
    </x:row>
    <x:row r="59" ht="23" customHeight="1">
      <x:c r="A59" s="38"/>
      <x:c r="B59" s="38"/>
      <x:c r="C59" s="38"/>
      <x:c r="D59" s="38"/>
      <x:c r="E59" s="38"/>
      <x:c r="F59" s="38"/>
      <x:c r="G59" s="38"/>
      <x:c r="H59" s="38"/>
      <x:c r="I59" s="38"/>
      <x:c r="J59" s="38"/>
      <x:c r="K59" s="38"/>
      <x:c r="L59" s="38"/>
      <x:c r="M59" s="38"/>
      <x:c r="N59" s="38"/>
      <x:c r="O59" s="38"/>
      <x:c r="P59" s="38"/>
      <x:c r="Q59" s="38"/>
      <x:c r="R59" s="38"/>
      <x:c r="S59" s="38"/>
      <x:c r="T59" s="38"/>
      <x:c r="U59" s="38"/>
    </x:row>
    <x:row r="60" ht="23" customHeight="1">
      <x:c r="A60" s="38"/>
      <x:c r="B60" s="38"/>
      <x:c r="C60" s="38"/>
      <x:c r="D60" s="38"/>
      <x:c r="E60" s="38"/>
      <x:c r="F60" s="38"/>
      <x:c r="G60" s="38"/>
      <x:c r="H60" s="38"/>
      <x:c r="I60" s="38"/>
      <x:c r="J60" s="38"/>
      <x:c r="K60" s="38"/>
      <x:c r="L60" s="38"/>
      <x:c r="M60" s="38"/>
      <x:c r="N60" s="38"/>
      <x:c r="O60" s="38"/>
      <x:c r="P60" s="38"/>
      <x:c r="Q60" s="38"/>
      <x:c r="R60" s="38"/>
      <x:c r="S60" s="38"/>
      <x:c r="T60" s="38"/>
      <x:c r="U60" s="38"/>
    </x:row>
    <x:row r="61" ht="23" customHeight="1">
      <x:c r="A61" s="38"/>
      <x:c r="B61" s="38"/>
      <x:c r="C61" s="38"/>
      <x:c r="D61" s="38"/>
      <x:c r="E61" s="38"/>
      <x:c r="F61" s="38"/>
      <x:c r="G61" s="38"/>
      <x:c r="H61" s="38"/>
      <x:c r="I61" s="38"/>
      <x:c r="J61" s="38"/>
      <x:c r="K61" s="38"/>
      <x:c r="L61" s="38"/>
      <x:c r="M61" s="38"/>
      <x:c r="N61" s="38"/>
      <x:c r="O61" s="38"/>
      <x:c r="P61" s="38"/>
      <x:c r="Q61" s="38"/>
      <x:c r="R61" s="38"/>
      <x:c r="S61" s="38"/>
      <x:c r="T61" s="38"/>
      <x:c r="U61" s="38"/>
    </x:row>
    <x:row r="62" ht="23" customHeight="1">
      <x:c r="A62" s="38"/>
      <x:c r="B62" s="38"/>
      <x:c r="C62" s="38"/>
      <x:c r="D62" s="38"/>
      <x:c r="E62" s="38"/>
      <x:c r="F62" s="38"/>
      <x:c r="G62" s="38"/>
      <x:c r="H62" s="38"/>
      <x:c r="I62" s="38"/>
      <x:c r="J62" s="38"/>
      <x:c r="K62" s="38"/>
      <x:c r="L62" s="38"/>
      <x:c r="M62" s="38"/>
      <x:c r="N62" s="38"/>
      <x:c r="O62" s="38"/>
      <x:c r="P62" s="38"/>
      <x:c r="Q62" s="38"/>
      <x:c r="R62" s="38"/>
      <x:c r="S62" s="38"/>
      <x:c r="T62" s="38"/>
      <x:c r="U62" s="38"/>
    </x:row>
    <x:row r="63" ht="23" customHeight="1">
      <x:c r="A63" s="38"/>
      <x:c r="B63" s="38"/>
      <x:c r="C63" s="38"/>
      <x:c r="D63" s="38"/>
      <x:c r="E63" s="38"/>
      <x:c r="F63" s="38"/>
      <x:c r="G63" s="38"/>
      <x:c r="H63" s="38"/>
      <x:c r="I63" s="38"/>
      <x:c r="J63" s="38"/>
      <x:c r="K63" s="38"/>
      <x:c r="L63" s="38"/>
      <x:c r="M63" s="38"/>
      <x:c r="N63" s="38"/>
      <x:c r="O63" s="38"/>
      <x:c r="P63" s="38"/>
      <x:c r="Q63" s="38"/>
      <x:c r="R63" s="38"/>
      <x:c r="S63" s="38"/>
      <x:c r="T63" s="38"/>
      <x:c r="U63" s="38"/>
    </x:row>
    <x:row r="64" ht="23" customHeight="1">
      <x:c r="A64" s="38"/>
      <x:c r="B64" s="38"/>
      <x:c r="C64" s="38"/>
      <x:c r="D64" s="38"/>
      <x:c r="E64" s="38"/>
      <x:c r="F64" s="38"/>
      <x:c r="G64" s="38"/>
      <x:c r="H64" s="38"/>
      <x:c r="I64" s="38"/>
      <x:c r="J64" s="38"/>
      <x:c r="K64" s="38"/>
      <x:c r="L64" s="38"/>
      <x:c r="M64" s="38"/>
      <x:c r="N64" s="38"/>
      <x:c r="O64" s="38"/>
      <x:c r="P64" s="38"/>
      <x:c r="Q64" s="38"/>
      <x:c r="R64" s="38"/>
      <x:c r="S64" s="38"/>
      <x:c r="T64" s="38"/>
      <x:c r="U64" s="38"/>
    </x:row>
    <x:row r="65" ht="23" customHeight="1">
      <x:c r="A65" s="38"/>
      <x:c r="B65" s="38"/>
      <x:c r="C65" s="38"/>
      <x:c r="D65" s="38"/>
      <x:c r="E65" s="38"/>
      <x:c r="F65" s="38"/>
      <x:c r="G65" s="38"/>
      <x:c r="H65" s="38"/>
      <x:c r="I65" s="38"/>
      <x:c r="J65" s="38"/>
      <x:c r="K65" s="38"/>
      <x:c r="L65" s="38"/>
      <x:c r="M65" s="38"/>
      <x:c r="N65" s="38"/>
      <x:c r="O65" s="38"/>
      <x:c r="P65" s="38"/>
      <x:c r="Q65" s="38"/>
      <x:c r="R65" s="38"/>
      <x:c r="S65" s="38"/>
      <x:c r="T65" s="38"/>
      <x:c r="U65" s="38"/>
    </x:row>
    <x:row r="66" ht="23" customHeight="1">
      <x:c r="A66" s="38"/>
      <x:c r="B66" s="38"/>
      <x:c r="C66" s="38"/>
      <x:c r="D66" s="38"/>
      <x:c r="E66" s="38"/>
      <x:c r="F66" s="38"/>
      <x:c r="G66" s="38"/>
      <x:c r="H66" s="38"/>
      <x:c r="I66" s="38"/>
      <x:c r="J66" s="38"/>
      <x:c r="K66" s="38"/>
      <x:c r="L66" s="38"/>
      <x:c r="M66" s="38"/>
      <x:c r="N66" s="38"/>
      <x:c r="O66" s="38"/>
      <x:c r="P66" s="38"/>
      <x:c r="Q66" s="38"/>
      <x:c r="R66" s="38"/>
      <x:c r="S66" s="38"/>
      <x:c r="T66" s="38"/>
      <x:c r="U66" s="38"/>
    </x:row>
    <x:row r="67" ht="23" customHeight="1">
      <x:c r="A67" s="38"/>
      <x:c r="B67" s="38"/>
      <x:c r="C67" s="38"/>
      <x:c r="D67" s="38"/>
      <x:c r="E67" s="38"/>
      <x:c r="F67" s="38"/>
      <x:c r="G67" s="38"/>
      <x:c r="H67" s="38"/>
      <x:c r="I67" s="38"/>
      <x:c r="J67" s="38"/>
      <x:c r="K67" s="38"/>
      <x:c r="L67" s="38"/>
      <x:c r="M67" s="38"/>
      <x:c r="N67" s="38"/>
      <x:c r="O67" s="38"/>
      <x:c r="P67" s="38"/>
      <x:c r="Q67" s="38"/>
      <x:c r="R67" s="38"/>
      <x:c r="S67" s="38"/>
      <x:c r="T67" s="38"/>
      <x:c r="U67" s="38"/>
    </x:row>
    <x:row r="68" ht="23" customHeight="1">
      <x:c r="A68" s="38"/>
      <x:c r="B68" s="38"/>
      <x:c r="C68" s="38"/>
      <x:c r="D68" s="38"/>
      <x:c r="E68" s="38"/>
      <x:c r="F68" s="38"/>
      <x:c r="G68" s="38"/>
      <x:c r="H68" s="38"/>
      <x:c r="I68" s="38"/>
      <x:c r="J68" s="38"/>
      <x:c r="K68" s="38"/>
      <x:c r="L68" s="38"/>
      <x:c r="M68" s="38"/>
      <x:c r="N68" s="38"/>
      <x:c r="O68" s="38"/>
      <x:c r="P68" s="38"/>
      <x:c r="Q68" s="38"/>
      <x:c r="R68" s="38"/>
      <x:c r="S68" s="38"/>
      <x:c r="T68" s="38"/>
      <x:c r="U68" s="38"/>
    </x:row>
    <x:row r="69" ht="23" customHeight="1">
      <x:c r="A69" s="38"/>
      <x:c r="B69" s="38"/>
      <x:c r="C69" s="38"/>
      <x:c r="D69" s="38"/>
      <x:c r="E69" s="38"/>
      <x:c r="F69" s="38"/>
      <x:c r="G69" s="38"/>
      <x:c r="H69" s="38"/>
      <x:c r="I69" s="38"/>
      <x:c r="J69" s="38"/>
      <x:c r="K69" s="38"/>
      <x:c r="L69" s="38"/>
      <x:c r="M69" s="38"/>
      <x:c r="N69" s="38"/>
      <x:c r="O69" s="38"/>
      <x:c r="P69" s="38"/>
      <x:c r="Q69" s="38"/>
      <x:c r="R69" s="38"/>
      <x:c r="S69" s="38"/>
      <x:c r="T69" s="38"/>
      <x:c r="U69" s="38"/>
    </x:row>
    <x:row r="70" ht="23" customHeight="1">
      <x:c r="A70" s="38"/>
      <x:c r="B70" s="38"/>
      <x:c r="C70" s="38"/>
      <x:c r="D70" s="38"/>
      <x:c r="E70" s="38"/>
      <x:c r="F70" s="38"/>
      <x:c r="G70" s="38"/>
      <x:c r="H70" s="38"/>
      <x:c r="I70" s="38"/>
      <x:c r="J70" s="38"/>
      <x:c r="K70" s="38"/>
      <x:c r="L70" s="38"/>
      <x:c r="M70" s="38"/>
      <x:c r="N70" s="38"/>
      <x:c r="O70" s="38"/>
      <x:c r="P70" s="38"/>
      <x:c r="Q70" s="38"/>
      <x:c r="R70" s="38"/>
      <x:c r="S70" s="38"/>
      <x:c r="T70" s="38"/>
      <x:c r="U70" s="38"/>
    </x:row>
    <x:row r="71" ht="23" customHeight="1">
      <x:c r="A71" s="38"/>
      <x:c r="B71" s="38"/>
      <x:c r="C71" s="38"/>
      <x:c r="D71" s="38"/>
      <x:c r="E71" s="38"/>
      <x:c r="F71" s="38"/>
      <x:c r="G71" s="38"/>
      <x:c r="H71" s="38"/>
      <x:c r="I71" s="38"/>
      <x:c r="J71" s="38"/>
      <x:c r="K71" s="38"/>
      <x:c r="L71" s="38"/>
      <x:c r="M71" s="38"/>
      <x:c r="N71" s="38"/>
      <x:c r="O71" s="38"/>
      <x:c r="P71" s="38"/>
      <x:c r="Q71" s="38"/>
      <x:c r="R71" s="38"/>
      <x:c r="S71" s="38"/>
      <x:c r="T71" s="38"/>
      <x:c r="U71" s="38"/>
    </x:row>
    <x:row r="72" ht="23" customHeight="1">
      <x:c r="A72" s="38"/>
      <x:c r="B72" s="38"/>
      <x:c r="C72" s="38"/>
      <x:c r="D72" s="38"/>
      <x:c r="E72" s="38"/>
      <x:c r="F72" s="38"/>
      <x:c r="G72" s="38"/>
      <x:c r="H72" s="38"/>
      <x:c r="I72" s="38"/>
      <x:c r="J72" s="38"/>
      <x:c r="K72" s="38"/>
      <x:c r="L72" s="38"/>
      <x:c r="M72" s="38"/>
      <x:c r="N72" s="38"/>
      <x:c r="O72" s="38"/>
      <x:c r="P72" s="38"/>
      <x:c r="Q72" s="38"/>
      <x:c r="R72" s="38"/>
      <x:c r="S72" s="38"/>
      <x:c r="T72" s="38"/>
      <x:c r="U72" s="38"/>
    </x:row>
    <x:row r="73" ht="23" customHeight="1">
      <x:c r="A73" s="38"/>
      <x:c r="B73" s="38"/>
      <x:c r="C73" s="38"/>
      <x:c r="D73" s="38"/>
      <x:c r="E73" s="38"/>
      <x:c r="F73" s="38"/>
      <x:c r="G73" s="38"/>
      <x:c r="H73" s="38"/>
      <x:c r="I73" s="38"/>
      <x:c r="J73" s="38"/>
      <x:c r="K73" s="38"/>
      <x:c r="L73" s="38"/>
      <x:c r="M73" s="38"/>
      <x:c r="N73" s="38"/>
      <x:c r="O73" s="38"/>
      <x:c r="P73" s="38"/>
      <x:c r="Q73" s="38"/>
      <x:c r="R73" s="38"/>
      <x:c r="S73" s="38"/>
      <x:c r="T73" s="38"/>
      <x:c r="U73" s="38"/>
    </x:row>
    <x:row r="74" ht="23" customHeight="1">
      <x:c r="A74" s="38"/>
      <x:c r="B74" s="38"/>
      <x:c r="C74" s="38"/>
      <x:c r="D74" s="38"/>
      <x:c r="E74" s="38"/>
      <x:c r="F74" s="38"/>
      <x:c r="G74" s="38"/>
      <x:c r="H74" s="38"/>
      <x:c r="I74" s="38"/>
      <x:c r="J74" s="38"/>
      <x:c r="K74" s="38"/>
      <x:c r="L74" s="38"/>
      <x:c r="M74" s="38"/>
      <x:c r="N74" s="38"/>
      <x:c r="O74" s="38"/>
      <x:c r="P74" s="38"/>
      <x:c r="Q74" s="38"/>
      <x:c r="R74" s="38"/>
      <x:c r="S74" s="38"/>
      <x:c r="T74" s="38"/>
      <x:c r="U74" s="38"/>
    </x:row>
    <x:row r="75" ht="23" customHeight="1">
      <x:c r="A75" s="38"/>
      <x:c r="B75" s="38"/>
      <x:c r="C75" s="38"/>
      <x:c r="D75" s="38"/>
      <x:c r="E75" s="38"/>
      <x:c r="F75" s="38"/>
      <x:c r="G75" s="38"/>
      <x:c r="H75" s="38"/>
      <x:c r="I75" s="38"/>
      <x:c r="J75" s="38"/>
      <x:c r="K75" s="38"/>
      <x:c r="L75" s="38"/>
      <x:c r="M75" s="38"/>
      <x:c r="N75" s="38"/>
      <x:c r="O75" s="38"/>
      <x:c r="P75" s="38"/>
      <x:c r="Q75" s="38"/>
      <x:c r="R75" s="38"/>
      <x:c r="S75" s="38"/>
      <x:c r="T75" s="38"/>
      <x:c r="U75" s="38"/>
    </x:row>
    <x:row r="76" ht="23" customHeight="1">
      <x:c r="A76" s="38"/>
      <x:c r="B76" s="38"/>
      <x:c r="C76" s="38"/>
      <x:c r="D76" s="38"/>
      <x:c r="E76" s="38"/>
      <x:c r="F76" s="38"/>
      <x:c r="G76" s="38"/>
      <x:c r="H76" s="38"/>
      <x:c r="I76" s="38"/>
      <x:c r="J76" s="38"/>
      <x:c r="K76" s="38"/>
      <x:c r="L76" s="38"/>
      <x:c r="M76" s="38"/>
      <x:c r="N76" s="38"/>
      <x:c r="O76" s="38"/>
      <x:c r="P76" s="38"/>
      <x:c r="Q76" s="38"/>
      <x:c r="R76" s="38"/>
      <x:c r="S76" s="38"/>
      <x:c r="T76" s="38"/>
      <x:c r="U76" s="38"/>
    </x:row>
    <x:row r="77" ht="23" customHeight="1">
      <x:c r="A77" s="38"/>
      <x:c r="B77" s="38"/>
      <x:c r="C77" s="38"/>
      <x:c r="D77" s="38"/>
      <x:c r="E77" s="38"/>
      <x:c r="F77" s="38"/>
      <x:c r="G77" s="38"/>
      <x:c r="H77" s="38"/>
      <x:c r="I77" s="38"/>
      <x:c r="J77" s="38"/>
      <x:c r="K77" s="38"/>
      <x:c r="L77" s="38"/>
      <x:c r="M77" s="38"/>
      <x:c r="N77" s="38"/>
      <x:c r="O77" s="38"/>
      <x:c r="P77" s="38"/>
      <x:c r="Q77" s="38"/>
      <x:c r="R77" s="38"/>
      <x:c r="S77" s="38"/>
      <x:c r="T77" s="38"/>
      <x:c r="U77" s="38"/>
    </x:row>
    <x:row r="78" ht="23" customHeight="1">
      <x:c r="A78" s="38"/>
      <x:c r="B78" s="38"/>
      <x:c r="C78" s="38"/>
      <x:c r="D78" s="38"/>
      <x:c r="E78" s="38"/>
      <x:c r="F78" s="38"/>
      <x:c r="G78" s="38"/>
      <x:c r="H78" s="38"/>
      <x:c r="I78" s="38"/>
      <x:c r="J78" s="38"/>
      <x:c r="K78" s="38"/>
      <x:c r="L78" s="38"/>
      <x:c r="M78" s="38"/>
      <x:c r="N78" s="38"/>
      <x:c r="O78" s="38"/>
      <x:c r="P78" s="38"/>
      <x:c r="Q78" s="38"/>
      <x:c r="R78" s="38"/>
      <x:c r="S78" s="38"/>
      <x:c r="T78" s="38"/>
      <x:c r="U78" s="38"/>
    </x:row>
    <x:row r="79" ht="23" customHeight="1">
      <x:c r="A79" s="38"/>
      <x:c r="B79" s="38"/>
      <x:c r="C79" s="38"/>
      <x:c r="D79" s="38"/>
      <x:c r="E79" s="38"/>
      <x:c r="F79" s="38"/>
      <x:c r="G79" s="38"/>
      <x:c r="H79" s="38"/>
      <x:c r="I79" s="38"/>
      <x:c r="J79" s="38"/>
      <x:c r="K79" s="38"/>
      <x:c r="L79" s="38"/>
      <x:c r="M79" s="38"/>
      <x:c r="N79" s="38"/>
      <x:c r="O79" s="38"/>
      <x:c r="P79" s="38"/>
      <x:c r="Q79" s="38"/>
      <x:c r="R79" s="38"/>
      <x:c r="S79" s="38"/>
      <x:c r="T79" s="38"/>
      <x:c r="U79" s="38"/>
    </x:row>
    <x:row r="80" ht="23" customHeight="1">
      <x:c r="A80" s="38"/>
      <x:c r="B80" s="38"/>
      <x:c r="C80" s="38"/>
      <x:c r="D80" s="38"/>
      <x:c r="E80" s="38"/>
      <x:c r="F80" s="38"/>
      <x:c r="G80" s="38"/>
      <x:c r="H80" s="38"/>
      <x:c r="I80" s="38"/>
      <x:c r="J80" s="38"/>
      <x:c r="K80" s="38"/>
      <x:c r="L80" s="38"/>
      <x:c r="M80" s="38"/>
      <x:c r="N80" s="38"/>
      <x:c r="O80" s="38"/>
      <x:c r="P80" s="38"/>
      <x:c r="Q80" s="38"/>
      <x:c r="R80" s="38"/>
      <x:c r="S80" s="38"/>
      <x:c r="T80" s="38"/>
      <x:c r="U80" s="38"/>
    </x:row>
    <x:row r="81" ht="23" customHeight="1">
      <x:c r="A81" s="38"/>
      <x:c r="B81" s="38"/>
      <x:c r="C81" s="38"/>
      <x:c r="D81" s="38"/>
      <x:c r="E81" s="38"/>
      <x:c r="F81" s="38"/>
      <x:c r="G81" s="38"/>
      <x:c r="H81" s="38"/>
      <x:c r="I81" s="38"/>
      <x:c r="J81" s="38"/>
      <x:c r="K81" s="38"/>
      <x:c r="L81" s="38"/>
      <x:c r="M81" s="38"/>
      <x:c r="N81" s="38"/>
      <x:c r="O81" s="38"/>
      <x:c r="P81" s="38"/>
      <x:c r="Q81" s="38"/>
      <x:c r="R81" s="38"/>
      <x:c r="S81" s="38"/>
      <x:c r="T81" s="38"/>
      <x:c r="U81" s="38"/>
    </x:row>
    <x:row r="82" ht="23" customHeight="1">
      <x:c r="A82" s="38"/>
      <x:c r="B82" s="38"/>
      <x:c r="C82" s="38"/>
      <x:c r="D82" s="38"/>
      <x:c r="E82" s="38"/>
      <x:c r="F82" s="38"/>
      <x:c r="G82" s="38"/>
      <x:c r="H82" s="38"/>
      <x:c r="I82" s="38"/>
      <x:c r="J82" s="38"/>
      <x:c r="K82" s="38"/>
      <x:c r="L82" s="38"/>
      <x:c r="M82" s="38"/>
      <x:c r="N82" s="38"/>
      <x:c r="O82" s="38"/>
      <x:c r="P82" s="38"/>
      <x:c r="Q82" s="38"/>
      <x:c r="R82" s="38"/>
      <x:c r="S82" s="38"/>
      <x:c r="T82" s="38"/>
      <x:c r="U82" s="38"/>
    </x:row>
    <x:row r="83" ht="23" customHeight="1">
      <x:c r="A83" s="38"/>
      <x:c r="B83" s="38"/>
      <x:c r="C83" s="38"/>
      <x:c r="D83" s="38"/>
      <x:c r="E83" s="38"/>
      <x:c r="F83" s="38"/>
      <x:c r="G83" s="38"/>
      <x:c r="H83" s="38"/>
      <x:c r="I83" s="38"/>
      <x:c r="J83" s="38"/>
      <x:c r="K83" s="38"/>
      <x:c r="L83" s="38"/>
      <x:c r="M83" s="38"/>
      <x:c r="N83" s="38"/>
      <x:c r="O83" s="38"/>
      <x:c r="P83" s="38"/>
      <x:c r="Q83" s="38"/>
      <x:c r="R83" s="38"/>
      <x:c r="S83" s="38"/>
      <x:c r="T83" s="38"/>
      <x:c r="U83" s="38"/>
    </x:row>
    <x:row r="84" ht="23" customHeight="1">
      <x:c r="A84" s="38"/>
      <x:c r="B84" s="38"/>
      <x:c r="C84" s="38"/>
      <x:c r="D84" s="38"/>
      <x:c r="E84" s="38"/>
      <x:c r="F84" s="38"/>
      <x:c r="G84" s="38"/>
      <x:c r="H84" s="38"/>
      <x:c r="I84" s="38"/>
      <x:c r="J84" s="38"/>
      <x:c r="K84" s="38"/>
      <x:c r="L84" s="38"/>
      <x:c r="M84" s="38"/>
      <x:c r="N84" s="38"/>
      <x:c r="O84" s="38"/>
      <x:c r="P84" s="38"/>
      <x:c r="Q84" s="38"/>
      <x:c r="R84" s="38"/>
      <x:c r="S84" s="38"/>
      <x:c r="T84" s="38"/>
      <x:c r="U84" s="38"/>
    </x:row>
    <x:row r="85" ht="23" customHeight="1">
      <x:c r="A85" s="38"/>
      <x:c r="B85" s="38"/>
      <x:c r="C85" s="38"/>
      <x:c r="D85" s="38"/>
      <x:c r="E85" s="38"/>
      <x:c r="F85" s="38"/>
      <x:c r="G85" s="38"/>
      <x:c r="H85" s="38"/>
      <x:c r="I85" s="38"/>
      <x:c r="J85" s="38"/>
      <x:c r="K85" s="38"/>
      <x:c r="L85" s="38"/>
      <x:c r="M85" s="38"/>
      <x:c r="N85" s="38"/>
      <x:c r="O85" s="38"/>
      <x:c r="P85" s="38"/>
      <x:c r="Q85" s="38"/>
      <x:c r="R85" s="38"/>
      <x:c r="S85" s="38"/>
      <x:c r="T85" s="38"/>
      <x:c r="U85" s="38"/>
    </x:row>
  </x:sheetData>
  <x:mergeCells>
    <x:mergeCell ref="B2:J3"/>
    <x:mergeCell ref="B4:J5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007F86"/>
  </x:sheetPr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3" hidden="0" customWidth="1"/>
    <x:col min="2" max="2" width="30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</x:cols>
  <x:sheetData>
    <x:row r="1" ht="23" customHeight="1">
      <x:c r="A1" s="38"/>
      <x:c r="B1" s="38"/>
      <x:c r="C1" s="38"/>
      <x:c r="D1" s="38"/>
      <x:c r="E1" s="38"/>
      <x:c r="F1" s="38"/>
      <x:c r="G1" s="38"/>
      <x:c r="H1" s="38"/>
      <x:c r="I1" s="38"/>
      <x:c r="J1" s="38"/>
      <x:c r="K1" s="38"/>
      <x:c r="L1" s="38"/>
      <x:c r="M1" s="38"/>
      <x:c r="N1" s="38"/>
      <x:c r="O1" s="38"/>
      <x:c r="P1" s="38"/>
      <x:c r="Q1" s="38"/>
      <x:c r="R1" s="38"/>
      <x:c r="S1" s="38"/>
      <x:c r="T1" s="38"/>
      <x:c r="U1" s="38"/>
    </x:row>
    <x:row r="2" ht="23" customHeight="1">
      <x:c r="A2" s="38"/>
      <x:c r="B2" s="4" t="str">
        <x:v>Methods, sources and boundaries</x:v>
      </x:c>
      <x:c r="C2" s="4"/>
      <x:c r="D2" s="4"/>
      <x:c r="E2" s="4"/>
      <x:c r="F2" s="4"/>
      <x:c r="G2" s="4"/>
      <x:c r="H2" s="4"/>
      <x:c r="I2" s="4"/>
      <x:c r="J2" s="4"/>
      <x:c r="K2" s="38"/>
      <x:c r="L2" s="38"/>
      <x:c r="M2" s="38"/>
      <x:c r="N2" s="38"/>
      <x:c r="O2" s="38"/>
      <x:c r="P2" s="38"/>
      <x:c r="Q2" s="38"/>
      <x:c r="R2" s="38"/>
      <x:c r="S2" s="38"/>
      <x:c r="T2" s="38"/>
      <x:c r="U2" s="38"/>
    </x:row>
    <x:row r="3" ht="23" customHeight="1">
      <x:c r="A3" s="38"/>
      <x:c r="B3" s="4"/>
      <x:c r="C3" s="4"/>
      <x:c r="D3" s="4"/>
      <x:c r="E3" s="4"/>
      <x:c r="F3" s="4"/>
      <x:c r="G3" s="4"/>
      <x:c r="H3" s="4"/>
      <x:c r="I3" s="4"/>
      <x:c r="J3" s="4"/>
      <x:c r="K3" s="38"/>
      <x:c r="L3" s="38"/>
      <x:c r="M3" s="38"/>
      <x:c r="N3" s="38"/>
      <x:c r="O3" s="38"/>
      <x:c r="P3" s="38"/>
      <x:c r="Q3" s="38"/>
      <x:c r="R3" s="38"/>
      <x:c r="S3" s="38"/>
      <x:c r="T3" s="38"/>
      <x:c r="U3" s="38"/>
    </x:row>
    <x:row r="4" ht="23" customHeight="1">
      <x:c r="A4" s="38"/>
      <x:c r="B4" s="39" t="str">
        <x:v>Use this page to explain the project and reproduce its findings. This is independent practice work; it is not PGIM employment or an actual client portfolio.</x:v>
      </x:c>
      <x:c r="C4" s="39"/>
      <x:c r="D4" s="39"/>
      <x:c r="E4" s="39"/>
      <x:c r="F4" s="39"/>
      <x:c r="G4" s="39"/>
      <x:c r="H4" s="39"/>
      <x:c r="I4" s="39"/>
      <x:c r="J4" s="39"/>
      <x:c r="K4" s="38"/>
      <x:c r="L4" s="38"/>
      <x:c r="M4" s="38"/>
      <x:c r="N4" s="38"/>
      <x:c r="O4" s="38"/>
      <x:c r="P4" s="38"/>
      <x:c r="Q4" s="38"/>
      <x:c r="R4" s="38"/>
      <x:c r="S4" s="38"/>
      <x:c r="T4" s="38"/>
      <x:c r="U4" s="38"/>
    </x:row>
    <x:row r="5" ht="23" customHeight="1">
      <x:c r="A5" s="38"/>
      <x:c r="B5" s="39"/>
      <x:c r="C5" s="39"/>
      <x:c r="D5" s="39"/>
      <x:c r="E5" s="39"/>
      <x:c r="F5" s="39"/>
      <x:c r="G5" s="39"/>
      <x:c r="H5" s="39"/>
      <x:c r="I5" s="39"/>
      <x:c r="J5" s="39"/>
      <x:c r="K5" s="38"/>
      <x:c r="L5" s="38"/>
      <x:c r="M5" s="38"/>
      <x:c r="N5" s="38"/>
      <x:c r="O5" s="38"/>
      <x:c r="P5" s="38"/>
      <x:c r="Q5" s="38"/>
      <x:c r="R5" s="38"/>
      <x:c r="S5" s="38"/>
      <x:c r="T5" s="38"/>
      <x:c r="U5" s="38"/>
    </x:row>
    <x:row r="6" ht="23" customHeight="1">
      <x:c r="A6" s="38"/>
      <x:c r="B6" s="38"/>
      <x:c r="C6" s="38"/>
      <x:c r="D6" s="38"/>
      <x:c r="E6" s="38"/>
      <x:c r="F6" s="38"/>
      <x:c r="G6" s="38"/>
      <x:c r="H6" s="38"/>
      <x:c r="I6" s="38"/>
      <x:c r="J6" s="38"/>
      <x:c r="K6" s="38"/>
      <x:c r="L6" s="38"/>
      <x:c r="M6" s="38"/>
      <x:c r="N6" s="38"/>
      <x:c r="O6" s="38"/>
      <x:c r="P6" s="38"/>
      <x:c r="Q6" s="38"/>
      <x:c r="R6" s="38"/>
      <x:c r="S6" s="38"/>
      <x:c r="T6" s="38"/>
      <x:c r="U6" s="38"/>
    </x:row>
    <x:row r="7" ht="23" customHeight="1">
      <x:c r="A7" s="38"/>
      <x:c r="B7" s="38"/>
      <x:c r="C7" s="38"/>
      <x:c r="D7" s="38"/>
      <x:c r="E7" s="38"/>
      <x:c r="F7" s="38"/>
      <x:c r="G7" s="38"/>
      <x:c r="H7" s="38"/>
      <x:c r="I7" s="38"/>
      <x:c r="J7" s="38"/>
      <x:c r="K7" s="38"/>
      <x:c r="L7" s="38"/>
      <x:c r="M7" s="38"/>
      <x:c r="N7" s="38"/>
      <x:c r="O7" s="38"/>
      <x:c r="P7" s="38"/>
      <x:c r="Q7" s="38"/>
      <x:c r="R7" s="38"/>
      <x:c r="S7" s="38"/>
      <x:c r="T7" s="38"/>
      <x:c r="U7" s="38"/>
    </x:row>
    <x:row r="8" ht="23" customHeight="1">
      <x:c r="A8" s="38"/>
      <x:c r="B8" s="38"/>
      <x:c r="C8" s="38"/>
      <x:c r="D8" s="38"/>
      <x:c r="E8" s="38"/>
      <x:c r="F8" s="38"/>
      <x:c r="G8" s="38"/>
      <x:c r="H8" s="38"/>
      <x:c r="I8" s="38"/>
      <x:c r="J8" s="38"/>
      <x:c r="K8" s="38"/>
      <x:c r="L8" s="38"/>
      <x:c r="M8" s="38"/>
      <x:c r="N8" s="38"/>
      <x:c r="O8" s="38"/>
      <x:c r="P8" s="38"/>
      <x:c r="Q8" s="38"/>
      <x:c r="R8" s="38"/>
      <x:c r="S8" s="38"/>
      <x:c r="T8" s="38"/>
      <x:c r="U8" s="38"/>
    </x:row>
    <x:row r="9" ht="34" customHeight="1">
      <x:c r="A9" s="38"/>
      <x:c r="B9" s="41" t="str">
        <x:v>Topic</x:v>
      </x:c>
      <x:c r="C9" s="41" t="str">
        <x:v>Explanation</x:v>
      </x:c>
      <x:c r="D9" s="42"/>
      <x:c r="E9" s="42"/>
      <x:c r="F9" s="42"/>
      <x:c r="G9" s="42"/>
      <x:c r="H9" s="42"/>
      <x:c r="I9" s="42"/>
      <x:c r="J9" s="42"/>
      <x:c r="K9" s="38"/>
      <x:c r="L9" s="38"/>
      <x:c r="M9" s="38"/>
      <x:c r="N9" s="38"/>
      <x:c r="O9" s="38"/>
      <x:c r="P9" s="38"/>
      <x:c r="Q9" s="38"/>
      <x:c r="R9" s="38"/>
      <x:c r="S9" s="38"/>
      <x:c r="T9" s="38"/>
      <x:c r="U9" s="38"/>
    </x:row>
    <x:row r="10" ht="66" customHeight="1">
      <x:c r="A10" s="38"/>
      <x:c r="B10" s="49" t="str">
        <x:v>Source return series</x:v>
      </x:c>
      <x:c r="C10" s="49" t="str">
        <x:v>PGIM Forage Task 3, Portfolio’s KPIs Calculations Template.xlsx, cells C16:H27. Current weights C4:C9; proposed weights D4:D9. Original source retained separately.</x:v>
      </x:c>
      <x:c r="D10" s="49"/>
      <x:c r="E10" s="49"/>
      <x:c r="F10" s="49"/>
      <x:c r="G10" s="49"/>
      <x:c r="H10" s="49"/>
      <x:c r="I10" s="49"/>
      <x:c r="J10" s="49"/>
      <x:c r="K10" s="38"/>
      <x:c r="L10" s="38"/>
      <x:c r="M10" s="38"/>
      <x:c r="N10" s="38"/>
      <x:c r="O10" s="38"/>
      <x:c r="P10" s="38"/>
      <x:c r="Q10" s="38"/>
      <x:c r="R10" s="38"/>
      <x:c r="S10" s="38"/>
      <x:c r="T10" s="38"/>
      <x:c r="U10" s="38"/>
    </x:row>
    <x:row r="11" ht="66" customHeight="1">
      <x:c r="A11" s="38"/>
      <x:c r="B11" s="49" t="str">
        <x:v>Forage program</x:v>
      </x:c>
      <x:c r="C11" s="49" t="str">
        <x:v>https://www.theforage.com/simulations/pgim/fixed-income-fqv9</x:v>
      </x:c>
      <x:c r="D11" s="49"/>
      <x:c r="E11" s="49"/>
      <x:c r="F11" s="49"/>
      <x:c r="G11" s="49"/>
      <x:c r="H11" s="49"/>
      <x:c r="I11" s="49"/>
      <x:c r="J11" s="49"/>
      <x:c r="K11" s="38"/>
      <x:c r="L11" s="38"/>
      <x:c r="M11" s="38"/>
      <x:c r="N11" s="38"/>
      <x:c r="O11" s="38"/>
      <x:c r="P11" s="38"/>
      <x:c r="Q11" s="38"/>
      <x:c r="R11" s="38"/>
      <x:c r="S11" s="38"/>
      <x:c r="T11" s="38"/>
      <x:c r="U11" s="38"/>
    </x:row>
    <x:row r="12" ht="66" customHeight="1">
      <x:c r="A12" s="38"/>
      <x:c r="B12" s="49" t="str">
        <x:v>Historical dates</x:v>
      </x:c>
      <x:c r="C12" s="49" t="str">
        <x:v>Original sector observations: January–December 2021. Synthetic reporting period: September 30–December 31, 2021. Prepared September 30, 2026; no claim of live 2026 performance.</x:v>
      </x:c>
      <x:c r="D12" s="49"/>
      <x:c r="E12" s="49"/>
      <x:c r="F12" s="49"/>
      <x:c r="G12" s="49"/>
      <x:c r="H12" s="49"/>
      <x:c r="I12" s="49"/>
      <x:c r="J12" s="49"/>
      <x:c r="K12" s="38"/>
      <x:c r="L12" s="38"/>
      <x:c r="M12" s="38"/>
      <x:c r="N12" s="38"/>
      <x:c r="O12" s="38"/>
      <x:c r="P12" s="38"/>
      <x:c r="Q12" s="38"/>
      <x:c r="R12" s="38"/>
      <x:c r="S12" s="38"/>
      <x:c r="T12" s="38"/>
      <x:c r="U12" s="38"/>
    </x:row>
    <x:row r="13" ht="66" customHeight="1">
      <x:c r="A13" s="38"/>
      <x:c r="B13" s="49" t="str">
        <x:v>Synthetic source records</x:v>
      </x:c>
      <x:c r="C13" s="49" t="str">
        <x:v>See 03_Source_Materials: simulated custodian/internal transactions, statement valuations, positions and reconciliation adjustments. Clean statement calculations were generated independently in Python.</x:v>
      </x:c>
      <x:c r="D13" s="49"/>
      <x:c r="E13" s="49"/>
      <x:c r="F13" s="49"/>
      <x:c r="G13" s="49"/>
      <x:c r="H13" s="49"/>
      <x:c r="I13" s="49"/>
      <x:c r="J13" s="49"/>
      <x:c r="K13" s="38"/>
      <x:c r="L13" s="38"/>
      <x:c r="M13" s="38"/>
      <x:c r="N13" s="38"/>
      <x:c r="O13" s="38"/>
      <x:c r="P13" s="38"/>
      <x:c r="Q13" s="38"/>
      <x:c r="R13" s="38"/>
      <x:c r="S13" s="38"/>
      <x:c r="T13" s="38"/>
      <x:c r="U13" s="38"/>
    </x:row>
    <x:row r="14" ht="66" customHeight="1">
      <x:c r="A14" s="38"/>
      <x:c r="B14" s="49" t="str">
        <x:v>Account and sleeves</x:v>
      </x:c>
      <x:c r="C14" s="49" t="str">
        <x:v>$1,000,000 opening NAV: $950,000 in six sleeves at current PGIM weights, $50,000 cash. Sleeve units start at $100. These are total-return units, not individual securities or executable prices.</x:v>
      </x:c>
      <x:c r="D14" s="49"/>
      <x:c r="E14" s="49"/>
      <x:c r="F14" s="49"/>
      <x:c r="G14" s="49"/>
      <x:c r="H14" s="49"/>
      <x:c r="I14" s="49"/>
      <x:c r="J14" s="49"/>
      <x:c r="K14" s="38"/>
      <x:c r="L14" s="38"/>
      <x:c r="M14" s="38"/>
      <x:c r="N14" s="38"/>
      <x:c r="O14" s="38"/>
      <x:c r="P14" s="38"/>
      <x:c r="Q14" s="38"/>
      <x:c r="R14" s="38"/>
      <x:c r="S14" s="38"/>
      <x:c r="T14" s="38"/>
      <x:c r="U14" s="38"/>
    </x:row>
    <x:row r="15" ht="66" customHeight="1">
      <x:c r="A15" s="38"/>
      <x:c r="B15" s="49" t="str">
        <x:v>Pricing convention</x:v>
      </x:c>
      <x:c r="C15" s="49" t="str">
        <x:v>Month-end sleeve prices compound PGIM returns. Mid-month prices use the square root of the month’s growth factor, a simplifying assumption rather than observed intramonth prices. Cash is priced at $1.</x:v>
      </x:c>
      <x:c r="D15" s="49"/>
      <x:c r="E15" s="49"/>
      <x:c r="F15" s="49"/>
      <x:c r="G15" s="49"/>
      <x:c r="H15" s="49"/>
      <x:c r="I15" s="49"/>
      <x:c r="J15" s="49"/>
      <x:c r="K15" s="38"/>
      <x:c r="L15" s="38"/>
      <x:c r="M15" s="38"/>
      <x:c r="N15" s="38"/>
      <x:c r="O15" s="38"/>
      <x:c r="P15" s="38"/>
      <x:c r="Q15" s="38"/>
      <x:c r="R15" s="38"/>
      <x:c r="S15" s="38"/>
      <x:c r="T15" s="38"/>
      <x:c r="U15" s="38"/>
    </x:row>
    <x:row r="16" ht="66" customHeight="1">
      <x:c r="A16" s="38"/>
      <x:c r="B16" s="49" t="str">
        <x:v>Timing and fee assumptions</x:v>
      </x:c>
      <x:c r="C16" s="49" t="str">
        <x:v>External flows occur after valuation on their dates. Trades execute at the displayed sleeve price. $250 fee at each month end; no cash interest, FX, taxes or transaction costs. Total-return sleeve prices embed distributions.</x:v>
      </x:c>
      <x:c r="D16" s="49"/>
      <x:c r="E16" s="49"/>
      <x:c r="F16" s="49"/>
      <x:c r="G16" s="49"/>
      <x:c r="H16" s="49"/>
      <x:c r="I16" s="49"/>
      <x:c r="J16" s="49"/>
      <x:c r="K16" s="38"/>
      <x:c r="L16" s="38"/>
      <x:c r="M16" s="38"/>
      <x:c r="N16" s="38"/>
      <x:c r="O16" s="38"/>
      <x:c r="P16" s="38"/>
      <x:c r="Q16" s="38"/>
      <x:c r="R16" s="38"/>
      <x:c r="S16" s="38"/>
      <x:c r="T16" s="38"/>
      <x:c r="U16" s="38"/>
    </x:row>
    <x:row r="17" ht="66" customHeight="1">
      <x:c r="A17" s="38"/>
      <x:c r="B17" s="49" t="str">
        <x:v>Cash-flow dates</x:v>
      </x:c>
      <x:c r="C17" s="49" t="str">
        <x:v>Contribution $100,000 on November 15; withdrawal $50,000 on December 15. Transactions are simulated. Intermediate valuations enable geometric time-weighted linking across flow boundaries.</x:v>
      </x:c>
      <x:c r="D17" s="49"/>
      <x:c r="E17" s="49"/>
      <x:c r="F17" s="49"/>
      <x:c r="G17" s="49"/>
      <x:c r="H17" s="49"/>
      <x:c r="I17" s="49"/>
      <x:c r="J17" s="49"/>
      <x:c r="K17" s="38"/>
      <x:c r="L17" s="38"/>
      <x:c r="M17" s="38"/>
      <x:c r="N17" s="38"/>
      <x:c r="O17" s="38"/>
      <x:c r="P17" s="38"/>
      <x:c r="Q17" s="38"/>
      <x:c r="R17" s="38"/>
      <x:c r="S17" s="38"/>
      <x:c r="T17" s="38"/>
      <x:c r="U17" s="38"/>
    </x:row>
    <x:row r="18" ht="66" customHeight="1">
      <x:c r="A18" s="38"/>
      <x:c r="B18" s="49" t="str">
        <x:v>Return calculation</x:v>
      </x:c>
      <x:c r="C18" s="49" t="str">
        <x:v>Net subperiod return = (ending NAV − end-of-date external flow) / preceding NAV − 1. Gross adds the period fee to the numerator. Quarter return is the product of (1 + subperiod return), less 1.</x:v>
      </x:c>
      <x:c r="D18" s="49"/>
      <x:c r="E18" s="49"/>
      <x:c r="F18" s="49"/>
      <x:c r="G18" s="49"/>
      <x:c r="H18" s="49"/>
      <x:c r="I18" s="49"/>
      <x:c r="J18" s="49"/>
      <x:c r="K18" s="38"/>
      <x:c r="L18" s="38"/>
      <x:c r="M18" s="38"/>
      <x:c r="N18" s="38"/>
      <x:c r="O18" s="38"/>
      <x:c r="P18" s="38"/>
      <x:c r="Q18" s="38"/>
      <x:c r="R18" s="38"/>
      <x:c r="S18" s="38"/>
      <x:c r="T18" s="38"/>
      <x:c r="U18" s="38"/>
    </x:row>
    <x:row r="19" ht="66" customHeight="1">
      <x:c r="A19" s="38"/>
      <x:c r="B19" s="49" t="str">
        <x:v>Reference hurdle</x:v>
      </x:c>
      <x:c r="C19" s="49" t="str">
        <x:v>Original template reference of 1.50% annually is compounded over 92/365 of a year. No actual benchmark return series is supplied. It is not presented as an investable benchmark or a risk-free rate.</x:v>
      </x:c>
      <x:c r="D19" s="49"/>
      <x:c r="E19" s="49"/>
      <x:c r="F19" s="49"/>
      <x:c r="G19" s="49"/>
      <x:c r="H19" s="49"/>
      <x:c r="I19" s="49"/>
      <x:c r="J19" s="49"/>
      <x:c r="K19" s="38"/>
      <x:c r="L19" s="38"/>
      <x:c r="M19" s="38"/>
      <x:c r="N19" s="38"/>
      <x:c r="O19" s="38"/>
      <x:c r="P19" s="38"/>
      <x:c r="Q19" s="38"/>
      <x:c r="R19" s="38"/>
      <x:c r="S19" s="38"/>
      <x:c r="T19" s="38"/>
      <x:c r="U19" s="38"/>
    </x:row>
    <x:row r="20" ht="66" customHeight="1">
      <x:c r="A20" s="38"/>
      <x:c r="B20" s="49" t="str">
        <x:v>Risk / Sharpe convention</x:v>
      </x:c>
      <x:c r="C20" s="49" t="str">
        <x:v>Monthly sample volatility × sqrt(12). Annualized Sharpe = (average monthly return − monthly equivalent of assumed 0.10% annual RF) / monthly sample volatility × sqrt(12). Uses only 12 observations.</x:v>
      </x:c>
      <x:c r="D20" s="49"/>
      <x:c r="E20" s="49"/>
      <x:c r="F20" s="49"/>
      <x:c r="G20" s="49"/>
      <x:c r="H20" s="49"/>
      <x:c r="I20" s="49"/>
      <x:c r="J20" s="49"/>
      <x:c r="K20" s="38"/>
      <x:c r="L20" s="38"/>
      <x:c r="M20" s="38"/>
      <x:c r="N20" s="38"/>
      <x:c r="O20" s="38"/>
      <x:c r="P20" s="38"/>
      <x:c r="Q20" s="38"/>
      <x:c r="R20" s="38"/>
      <x:c r="S20" s="38"/>
      <x:c r="T20" s="38"/>
      <x:c r="U20" s="38"/>
    </x:row>
    <x:row r="21" ht="66" customHeight="1">
      <x:c r="A21" s="38"/>
      <x:c r="B21" s="49" t="str">
        <x:v>Original-template distinction</x:v>
      </x:c>
      <x:c r="C21" s="49" t="str">
        <x:v>Original exercise weights each sector’s compounded annual return. Extension assumes monthly rebalancing for annual allocation comparison; the Q4 account follows its own trades and retains cash. These three portfolios need not have identical returns.</x:v>
      </x:c>
      <x:c r="D21" s="49"/>
      <x:c r="E21" s="49"/>
      <x:c r="F21" s="49"/>
      <x:c r="G21" s="49"/>
      <x:c r="H21" s="49"/>
      <x:c r="I21" s="49"/>
      <x:c r="J21" s="49"/>
      <x:c r="K21" s="38"/>
      <x:c r="L21" s="38"/>
      <x:c r="M21" s="38"/>
      <x:c r="N21" s="38"/>
      <x:c r="O21" s="38"/>
      <x:c r="P21" s="38"/>
      <x:c r="Q21" s="38"/>
      <x:c r="R21" s="38"/>
      <x:c r="S21" s="38"/>
      <x:c r="T21" s="38"/>
      <x:c r="U21" s="38"/>
    </x:row>
    <x:row r="22" ht="66" customHeight="1">
      <x:c r="A22" s="38"/>
      <x:c r="B22" s="49" t="str">
        <x:v>Calculation reference</x:v>
      </x:c>
      <x:c r="C22" s="49" t="str">
        <x:v>https://www.gipsstandards.org/wp-content/uploads/2021/03/calculation_methodology_gs_2011.pdf</x:v>
      </x:c>
      <x:c r="D22" s="49"/>
      <x:c r="E22" s="49"/>
      <x:c r="F22" s="49"/>
      <x:c r="G22" s="49"/>
      <x:c r="H22" s="49"/>
      <x:c r="I22" s="49"/>
      <x:c r="J22" s="49"/>
      <x:c r="K22" s="38"/>
      <x:c r="L22" s="38"/>
      <x:c r="M22" s="38"/>
      <x:c r="N22" s="38"/>
      <x:c r="O22" s="38"/>
      <x:c r="P22" s="38"/>
      <x:c r="Q22" s="38"/>
      <x:c r="R22" s="38"/>
      <x:c r="S22" s="38"/>
      <x:c r="T22" s="38"/>
      <x:c r="U22" s="38"/>
    </x:row>
    <x:row r="23" ht="66" customHeight="1">
      <x:c r="A23" s="38"/>
      <x:c r="B23" s="49" t="str">
        <x:v>Risk-method reference</x:v>
      </x:c>
      <x:c r="C23" s="49" t="str">
        <x:v>https://www.gipsstandards.org/standards/gips-standards-for-firms/gips-standards-handbook-for-firms/</x:v>
      </x:c>
      <x:c r="D23" s="49"/>
      <x:c r="E23" s="49"/>
      <x:c r="F23" s="49"/>
      <x:c r="G23" s="49"/>
      <x:c r="H23" s="49"/>
      <x:c r="I23" s="49"/>
      <x:c r="J23" s="49"/>
      <x:c r="K23" s="38"/>
      <x:c r="L23" s="38"/>
      <x:c r="M23" s="38"/>
      <x:c r="N23" s="38"/>
      <x:c r="O23" s="38"/>
      <x:c r="P23" s="38"/>
      <x:c r="Q23" s="38"/>
      <x:c r="R23" s="38"/>
      <x:c r="S23" s="38"/>
      <x:c r="T23" s="38"/>
      <x:c r="U23" s="38"/>
    </x:row>
    <x:row r="24" ht="66" customHeight="1">
      <x:c r="A24" s="38"/>
      <x:c r="B24" s="49" t="str">
        <x:v>Reporting limitation</x:v>
      </x:c>
      <x:c r="C24" s="49" t="str">
        <x:v>Methodology references inform calculations only. No GIPS-compliance claim, no actual client results, no defined-benefit liability model and no investment recommendation are made.</x:v>
      </x:c>
      <x:c r="D24" s="49"/>
      <x:c r="E24" s="49"/>
      <x:c r="F24" s="49"/>
      <x:c r="G24" s="49"/>
      <x:c r="H24" s="49"/>
      <x:c r="I24" s="49"/>
      <x:c r="J24" s="49"/>
      <x:c r="K24" s="38"/>
      <x:c r="L24" s="38"/>
      <x:c r="M24" s="38"/>
      <x:c r="N24" s="38"/>
      <x:c r="O24" s="38"/>
      <x:c r="P24" s="38"/>
      <x:c r="Q24" s="38"/>
      <x:c r="R24" s="38"/>
      <x:c r="S24" s="38"/>
      <x:c r="T24" s="38"/>
      <x:c r="U24" s="38"/>
    </x:row>
    <x:row r="25" ht="66" customHeight="1">
      <x:c r="A25" s="38"/>
      <x:c r="B25" s="49" t="str">
        <x:v>Color and navigation</x:v>
      </x:c>
      <x:c r="C25" s="49" t="str">
        <x:v>Blue text denotes source inputs; formulas calculate results. Summary is the review page; Transactions and Positions provide the audit trail; Reconciliation contains review controls.</x:v>
      </x:c>
      <x:c r="D25" s="49"/>
      <x:c r="E25" s="49"/>
      <x:c r="F25" s="49"/>
      <x:c r="G25" s="49"/>
      <x:c r="H25" s="49"/>
      <x:c r="I25" s="49"/>
      <x:c r="J25" s="49"/>
      <x:c r="K25" s="38"/>
      <x:c r="L25" s="38"/>
      <x:c r="M25" s="38"/>
      <x:c r="N25" s="38"/>
      <x:c r="O25" s="38"/>
      <x:c r="P25" s="38"/>
      <x:c r="Q25" s="38"/>
      <x:c r="R25" s="38"/>
      <x:c r="S25" s="38"/>
      <x:c r="T25" s="38"/>
      <x:c r="U25" s="38"/>
    </x:row>
    <x:row r="26" ht="66" customHeight="1">
      <x:c r="A26" s="38"/>
      <x:c r="B26" s="49" t="str">
        <x:v>Authorship and review</x:v>
      </x:c>
      <x:c r="C26" s="49" t="str">
        <x:v>Prepared with AI assistance for Florien Siakoua Toukam’s independent practice. Review formulas, assumptions and findings before describing this work in an interview. Original Forage answers remain in 01_Original_Forage_Work.</x:v>
      </x:c>
      <x:c r="D26" s="49"/>
      <x:c r="E26" s="49"/>
      <x:c r="F26" s="49"/>
      <x:c r="G26" s="49"/>
      <x:c r="H26" s="49"/>
      <x:c r="I26" s="49"/>
      <x:c r="J26" s="49"/>
      <x:c r="K26" s="38"/>
      <x:c r="L26" s="38"/>
      <x:c r="M26" s="38"/>
      <x:c r="N26" s="38"/>
      <x:c r="O26" s="38"/>
      <x:c r="P26" s="38"/>
      <x:c r="Q26" s="38"/>
      <x:c r="R26" s="38"/>
      <x:c r="S26" s="38"/>
      <x:c r="T26" s="38"/>
      <x:c r="U26" s="38"/>
    </x:row>
    <x:row r="27" ht="23" customHeight="1">
      <x:c r="A27" s="38"/>
      <x:c r="B27" s="38"/>
      <x:c r="C27" s="38"/>
      <x:c r="D27" s="38"/>
      <x:c r="E27" s="38"/>
      <x:c r="F27" s="38"/>
      <x:c r="G27" s="38"/>
      <x:c r="H27" s="38"/>
      <x:c r="I27" s="38"/>
      <x:c r="J27" s="38"/>
      <x:c r="K27" s="38"/>
      <x:c r="L27" s="38"/>
      <x:c r="M27" s="38"/>
      <x:c r="N27" s="38"/>
      <x:c r="O27" s="38"/>
      <x:c r="P27" s="38"/>
      <x:c r="Q27" s="38"/>
      <x:c r="R27" s="38"/>
      <x:c r="S27" s="38"/>
      <x:c r="T27" s="38"/>
      <x:c r="U27" s="38"/>
    </x:row>
    <x:row r="28" ht="68" customHeight="1">
      <x:c r="A28" s="38"/>
      <x:c r="B28" s="71" t="str">
        <x:v>Money-weighted return</x:v>
      </x:c>
      <x:c r="C28" s="71" t="str">
        <x:v>Performance B42:C45 links opening NAV, the dated external contribution and withdrawal, and closing NAV. XIRR uses actual days / 365. Closing NAV is treated as an assumed liquidation value.</x:v>
      </x:c>
      <x:c r="D28" s="71"/>
      <x:c r="E28" s="71"/>
      <x:c r="F28" s="71"/>
      <x:c r="G28" s="71"/>
      <x:c r="H28" s="71"/>
      <x:c r="I28" s="71"/>
      <x:c r="J28" s="71"/>
      <x:c r="K28" s="38"/>
      <x:c r="L28" s="38"/>
      <x:c r="M28" s="38"/>
      <x:c r="N28" s="38"/>
      <x:c r="O28" s="38"/>
      <x:c r="P28" s="38"/>
      <x:c r="Q28" s="38"/>
      <x:c r="R28" s="38"/>
      <x:c r="S28" s="38"/>
      <x:c r="T28" s="38"/>
      <x:c r="U28" s="38"/>
    </x:row>
    <x:row r="29" ht="68" customHeight="1">
      <x:c r="A29" s="38"/>
      <x:c r="B29" s="71" t="str">
        <x:v>Fee and flow treatment</x:v>
      </x:c>
      <x:c r="C29" s="71" t="str">
        <x:v>Both return measures are net of account fees. Fees already reduce closing NAV and are not counted a second time. Trades are internal account movements and are excluded from investor cash flows.</x:v>
      </x:c>
      <x:c r="D29" s="71"/>
      <x:c r="E29" s="71"/>
      <x:c r="F29" s="71"/>
      <x:c r="G29" s="71"/>
      <x:c r="H29" s="71"/>
      <x:c r="I29" s="71"/>
      <x:c r="J29" s="71"/>
      <x:c r="K29" s="38"/>
      <x:c r="L29" s="38"/>
      <x:c r="M29" s="38"/>
      <x:c r="N29" s="38"/>
      <x:c r="O29" s="38"/>
      <x:c r="P29" s="38"/>
      <x:c r="Q29" s="38"/>
      <x:c r="R29" s="38"/>
      <x:c r="S29" s="38"/>
      <x:c r="T29" s="38"/>
      <x:c r="U29" s="38"/>
    </x:row>
    <x:row r="30" ht="68" customHeight="1">
      <x:c r="A30" s="38"/>
      <x:c r="B30" s="71" t="str">
        <x:v>Comparable reporting periods</x:v>
      </x:c>
      <x:c r="C30" s="71" t="str">
        <x:v>Quarterly MWR = (1 + annualized XIRR)^(92/365) - 1. The annualized output is not a realized one-year return or future-performance forecast. The quarterly comparison reflects different treatment of cash-flow timing and size.</x:v>
      </x:c>
      <x:c r="D30" s="71"/>
      <x:c r="E30" s="71"/>
      <x:c r="F30" s="71"/>
      <x:c r="G30" s="71"/>
      <x:c r="H30" s="71"/>
      <x:c r="I30" s="71"/>
      <x:c r="J30" s="71"/>
      <x:c r="K30" s="38"/>
      <x:c r="L30" s="38"/>
      <x:c r="M30" s="38"/>
      <x:c r="N30" s="38"/>
      <x:c r="O30" s="38"/>
      <x:c r="P30" s="38"/>
      <x:c r="Q30" s="38"/>
      <x:c r="R30" s="38"/>
      <x:c r="S30" s="38"/>
      <x:c r="T30" s="38"/>
      <x:c r="U30" s="38"/>
    </x:row>
    <x:row r="31" ht="68" customHeight="1">
      <x:c r="A31" s="38"/>
      <x:c r="B31" s="71" t="str">
        <x:v>XIRR reference</x:v>
      </x:c>
      <x:c r="C31" s="71" t="str">
        <x:v>https://support.microsoft.com/en-us/excel/functions/xirr-function</x:v>
      </x:c>
      <x:c r="D31" s="71"/>
      <x:c r="E31" s="71"/>
      <x:c r="F31" s="71"/>
      <x:c r="G31" s="71"/>
      <x:c r="H31" s="71"/>
      <x:c r="I31" s="71"/>
      <x:c r="J31" s="71"/>
      <x:c r="K31" s="38"/>
      <x:c r="L31" s="38"/>
      <x:c r="M31" s="38"/>
      <x:c r="N31" s="38"/>
      <x:c r="O31" s="38"/>
      <x:c r="P31" s="38"/>
      <x:c r="Q31" s="38"/>
      <x:c r="R31" s="38"/>
      <x:c r="S31" s="38"/>
      <x:c r="T31" s="38"/>
      <x:c r="U31" s="38"/>
    </x:row>
    <x:row r="32" ht="68" customHeight="1">
      <x:c r="A32" s="38"/>
      <x:c r="B32" s="71" t="str">
        <x:v>Calculation checks</x:v>
      </x:c>
      <x:c r="C32" s="71" t="str">
        <x:v>XNPV at the solved XIRR must be within $0.01 of zero. Investor cash flows reconcile to net investment gain; external investor flows reconcile to account-side contributions and withdrawals.</x:v>
      </x:c>
      <x:c r="D32" s="71"/>
      <x:c r="E32" s="71"/>
      <x:c r="F32" s="71"/>
      <x:c r="G32" s="71"/>
      <x:c r="H32" s="71"/>
      <x:c r="I32" s="71"/>
      <x:c r="J32" s="71"/>
      <x:c r="K32" s="38"/>
      <x:c r="L32" s="38"/>
      <x:c r="M32" s="38"/>
      <x:c r="N32" s="38"/>
      <x:c r="O32" s="38"/>
      <x:c r="P32" s="38"/>
      <x:c r="Q32" s="38"/>
      <x:c r="R32" s="38"/>
      <x:c r="S32" s="38"/>
      <x:c r="T32" s="38"/>
      <x:c r="U32" s="38"/>
    </x:row>
    <x:row r="33" ht="68" customHeight="1">
      <x:c r="A33" s="38"/>
      <x:c r="B33" s="71" t="str">
        <x:v>October 1, 2026 update</x:v>
      </x:c>
      <x:c r="C33" s="71" t="str">
        <x:v>Added XIRR, quarterly money-weighted return and same-period TWR comparison. Original input data and prior calculations were preserved.</x:v>
      </x:c>
      <x:c r="D33" s="71"/>
      <x:c r="E33" s="71"/>
      <x:c r="F33" s="71"/>
      <x:c r="G33" s="71"/>
      <x:c r="H33" s="71"/>
      <x:c r="I33" s="71"/>
      <x:c r="J33" s="71"/>
      <x:c r="K33" s="38"/>
      <x:c r="L33" s="38"/>
      <x:c r="M33" s="38"/>
      <x:c r="N33" s="38"/>
      <x:c r="O33" s="38"/>
      <x:c r="P33" s="38"/>
      <x:c r="Q33" s="38"/>
      <x:c r="R33" s="38"/>
      <x:c r="S33" s="38"/>
      <x:c r="T33" s="38"/>
      <x:c r="U33" s="38"/>
    </x:row>
    <x:row r="34" ht="23" customHeight="1">
      <x:c r="A34" s="38"/>
      <x:c r="B34" s="38"/>
      <x:c r="C34" s="38"/>
      <x:c r="D34" s="38"/>
      <x:c r="E34" s="38"/>
      <x:c r="F34" s="38"/>
      <x:c r="G34" s="38"/>
      <x:c r="H34" s="38"/>
      <x:c r="I34" s="38"/>
      <x:c r="J34" s="38"/>
      <x:c r="K34" s="38"/>
      <x:c r="L34" s="38"/>
      <x:c r="M34" s="38"/>
      <x:c r="N34" s="38"/>
      <x:c r="O34" s="38"/>
      <x:c r="P34" s="38"/>
      <x:c r="Q34" s="38"/>
      <x:c r="R34" s="38"/>
      <x:c r="S34" s="38"/>
      <x:c r="T34" s="38"/>
      <x:c r="U34" s="38"/>
    </x:row>
    <x:row r="35" ht="23" customHeight="1">
      <x:c r="A35" s="38"/>
      <x:c r="B35" s="38"/>
      <x:c r="C35" s="38"/>
      <x:c r="D35" s="38"/>
      <x:c r="E35" s="38"/>
      <x:c r="F35" s="38"/>
      <x:c r="G35" s="38"/>
      <x:c r="H35" s="38"/>
      <x:c r="I35" s="38"/>
      <x:c r="J35" s="38"/>
      <x:c r="K35" s="38"/>
      <x:c r="L35" s="38"/>
      <x:c r="M35" s="38"/>
      <x:c r="N35" s="38"/>
      <x:c r="O35" s="38"/>
      <x:c r="P35" s="38"/>
      <x:c r="Q35" s="38"/>
      <x:c r="R35" s="38"/>
      <x:c r="S35" s="38"/>
      <x:c r="T35" s="38"/>
      <x:c r="U35" s="38"/>
    </x:row>
    <x:row r="36" ht="23" customHeight="1">
      <x:c r="A36" s="38"/>
      <x:c r="B36" s="38"/>
      <x:c r="C36" s="38"/>
      <x:c r="D36" s="38"/>
      <x:c r="E36" s="38"/>
      <x:c r="F36" s="38"/>
      <x:c r="G36" s="38"/>
      <x:c r="H36" s="38"/>
      <x:c r="I36" s="38"/>
      <x:c r="J36" s="38"/>
      <x:c r="K36" s="38"/>
      <x:c r="L36" s="38"/>
      <x:c r="M36" s="38"/>
      <x:c r="N36" s="38"/>
      <x:c r="O36" s="38"/>
      <x:c r="P36" s="38"/>
      <x:c r="Q36" s="38"/>
      <x:c r="R36" s="38"/>
      <x:c r="S36" s="38"/>
      <x:c r="T36" s="38"/>
      <x:c r="U36" s="38"/>
    </x:row>
    <x:row r="37" ht="23" customHeight="1">
      <x:c r="A37" s="38"/>
      <x:c r="B37" s="38"/>
      <x:c r="C37" s="38"/>
      <x:c r="D37" s="38"/>
      <x:c r="E37" s="38"/>
      <x:c r="F37" s="38"/>
      <x:c r="G37" s="38"/>
      <x:c r="H37" s="38"/>
      <x:c r="I37" s="38"/>
      <x:c r="J37" s="38"/>
      <x:c r="K37" s="38"/>
      <x:c r="L37" s="38"/>
      <x:c r="M37" s="38"/>
      <x:c r="N37" s="38"/>
      <x:c r="O37" s="38"/>
      <x:c r="P37" s="38"/>
      <x:c r="Q37" s="38"/>
      <x:c r="R37" s="38"/>
      <x:c r="S37" s="38"/>
      <x:c r="T37" s="38"/>
      <x:c r="U37" s="38"/>
    </x:row>
    <x:row r="38" ht="23" customHeight="1">
      <x:c r="A38" s="38"/>
      <x:c r="B38" s="38"/>
      <x:c r="C38" s="38"/>
      <x:c r="D38" s="38"/>
      <x:c r="E38" s="38"/>
      <x:c r="F38" s="38"/>
      <x:c r="G38" s="38"/>
      <x:c r="H38" s="38"/>
      <x:c r="I38" s="38"/>
      <x:c r="J38" s="38"/>
      <x:c r="K38" s="38"/>
      <x:c r="L38" s="38"/>
      <x:c r="M38" s="38"/>
      <x:c r="N38" s="38"/>
      <x:c r="O38" s="38"/>
      <x:c r="P38" s="38"/>
      <x:c r="Q38" s="38"/>
      <x:c r="R38" s="38"/>
      <x:c r="S38" s="38"/>
      <x:c r="T38" s="38"/>
      <x:c r="U38" s="38"/>
    </x:row>
    <x:row r="39" ht="23" customHeight="1">
      <x:c r="A39" s="38"/>
      <x:c r="B39" s="38"/>
      <x:c r="C39" s="38"/>
      <x:c r="D39" s="38"/>
      <x:c r="E39" s="38"/>
      <x:c r="F39" s="38"/>
      <x:c r="G39" s="38"/>
      <x:c r="H39" s="38"/>
      <x:c r="I39" s="38"/>
      <x:c r="J39" s="38"/>
      <x:c r="K39" s="38"/>
      <x:c r="L39" s="38"/>
      <x:c r="M39" s="38"/>
      <x:c r="N39" s="38"/>
      <x:c r="O39" s="38"/>
      <x:c r="P39" s="38"/>
      <x:c r="Q39" s="38"/>
      <x:c r="R39" s="38"/>
      <x:c r="S39" s="38"/>
      <x:c r="T39" s="38"/>
      <x:c r="U39" s="38"/>
    </x:row>
    <x:row r="40" ht="23" customHeight="1">
      <x:c r="A40" s="38"/>
      <x:c r="B40" s="38"/>
      <x:c r="C40" s="38"/>
      <x:c r="D40" s="38"/>
      <x:c r="E40" s="38"/>
      <x:c r="F40" s="38"/>
      <x:c r="G40" s="38"/>
      <x:c r="H40" s="38"/>
      <x:c r="I40" s="38"/>
      <x:c r="J40" s="38"/>
      <x:c r="K40" s="38"/>
      <x:c r="L40" s="38"/>
      <x:c r="M40" s="38"/>
      <x:c r="N40" s="38"/>
      <x:c r="O40" s="38"/>
      <x:c r="P40" s="38"/>
      <x:c r="Q40" s="38"/>
      <x:c r="R40" s="38"/>
      <x:c r="S40" s="38"/>
      <x:c r="T40" s="38"/>
      <x:c r="U40" s="38"/>
    </x:row>
    <x:row r="41" ht="23" customHeight="1">
      <x:c r="A41" s="38"/>
      <x:c r="B41" s="38"/>
      <x:c r="C41" s="38"/>
      <x:c r="D41" s="38"/>
      <x:c r="E41" s="38"/>
      <x:c r="F41" s="38"/>
      <x:c r="G41" s="38"/>
      <x:c r="H41" s="38"/>
      <x:c r="I41" s="38"/>
      <x:c r="J41" s="38"/>
      <x:c r="K41" s="38"/>
      <x:c r="L41" s="38"/>
      <x:c r="M41" s="38"/>
      <x:c r="N41" s="38"/>
      <x:c r="O41" s="38"/>
      <x:c r="P41" s="38"/>
      <x:c r="Q41" s="38"/>
      <x:c r="R41" s="38"/>
      <x:c r="S41" s="38"/>
      <x:c r="T41" s="38"/>
      <x:c r="U41" s="38"/>
    </x:row>
    <x:row r="42" ht="23" customHeight="1">
      <x:c r="A42" s="38"/>
      <x:c r="B42" s="38"/>
      <x:c r="C42" s="38"/>
      <x:c r="D42" s="38"/>
      <x:c r="E42" s="38"/>
      <x:c r="F42" s="38"/>
      <x:c r="G42" s="38"/>
      <x:c r="H42" s="38"/>
      <x:c r="I42" s="38"/>
      <x:c r="J42" s="38"/>
      <x:c r="K42" s="38"/>
      <x:c r="L42" s="38"/>
      <x:c r="M42" s="38"/>
      <x:c r="N42" s="38"/>
      <x:c r="O42" s="38"/>
      <x:c r="P42" s="38"/>
      <x:c r="Q42" s="38"/>
      <x:c r="R42" s="38"/>
      <x:c r="S42" s="38"/>
      <x:c r="T42" s="38"/>
      <x:c r="U42" s="38"/>
    </x:row>
    <x:row r="43" ht="23" customHeight="1">
      <x:c r="A43" s="38"/>
      <x:c r="B43" s="38"/>
      <x:c r="C43" s="38"/>
      <x:c r="D43" s="38"/>
      <x:c r="E43" s="38"/>
      <x:c r="F43" s="38"/>
      <x:c r="G43" s="38"/>
      <x:c r="H43" s="38"/>
      <x:c r="I43" s="38"/>
      <x:c r="J43" s="38"/>
      <x:c r="K43" s="38"/>
      <x:c r="L43" s="38"/>
      <x:c r="M43" s="38"/>
      <x:c r="N43" s="38"/>
      <x:c r="O43" s="38"/>
      <x:c r="P43" s="38"/>
      <x:c r="Q43" s="38"/>
      <x:c r="R43" s="38"/>
      <x:c r="S43" s="38"/>
      <x:c r="T43" s="38"/>
      <x:c r="U43" s="38"/>
    </x:row>
    <x:row r="44" ht="23" customHeight="1">
      <x:c r="A44" s="38"/>
      <x:c r="B44" s="38"/>
      <x:c r="C44" s="38"/>
      <x:c r="D44" s="38"/>
      <x:c r="E44" s="38"/>
      <x:c r="F44" s="38"/>
      <x:c r="G44" s="38"/>
      <x:c r="H44" s="38"/>
      <x:c r="I44" s="38"/>
      <x:c r="J44" s="38"/>
      <x:c r="K44" s="38"/>
      <x:c r="L44" s="38"/>
      <x:c r="M44" s="38"/>
      <x:c r="N44" s="38"/>
      <x:c r="O44" s="38"/>
      <x:c r="P44" s="38"/>
      <x:c r="Q44" s="38"/>
      <x:c r="R44" s="38"/>
      <x:c r="S44" s="38"/>
      <x:c r="T44" s="38"/>
      <x:c r="U44" s="38"/>
    </x:row>
    <x:row r="45" ht="23" customHeight="1">
      <x:c r="A45" s="38"/>
      <x:c r="B45" s="38"/>
      <x:c r="C45" s="38"/>
      <x:c r="D45" s="38"/>
      <x:c r="E45" s="38"/>
      <x:c r="F45" s="38"/>
      <x:c r="G45" s="38"/>
      <x:c r="H45" s="38"/>
      <x:c r="I45" s="38"/>
      <x:c r="J45" s="38"/>
      <x:c r="K45" s="38"/>
      <x:c r="L45" s="38"/>
      <x:c r="M45" s="38"/>
      <x:c r="N45" s="38"/>
      <x:c r="O45" s="38"/>
      <x:c r="P45" s="38"/>
      <x:c r="Q45" s="38"/>
      <x:c r="R45" s="38"/>
      <x:c r="S45" s="38"/>
      <x:c r="T45" s="38"/>
      <x:c r="U45" s="38"/>
    </x:row>
    <x:row r="46" ht="23" customHeight="1">
      <x:c r="A46" s="38"/>
      <x:c r="B46" s="38"/>
      <x:c r="C46" s="38"/>
      <x:c r="D46" s="38"/>
      <x:c r="E46" s="38"/>
      <x:c r="F46" s="38"/>
      <x:c r="G46" s="38"/>
      <x:c r="H46" s="38"/>
      <x:c r="I46" s="38"/>
      <x:c r="J46" s="38"/>
      <x:c r="K46" s="38"/>
      <x:c r="L46" s="38"/>
      <x:c r="M46" s="38"/>
      <x:c r="N46" s="38"/>
      <x:c r="O46" s="38"/>
      <x:c r="P46" s="38"/>
      <x:c r="Q46" s="38"/>
      <x:c r="R46" s="38"/>
      <x:c r="S46" s="38"/>
      <x:c r="T46" s="38"/>
      <x:c r="U46" s="38"/>
    </x:row>
    <x:row r="47" ht="23" customHeight="1">
      <x:c r="A47" s="38"/>
      <x:c r="B47" s="38"/>
      <x:c r="C47" s="38"/>
      <x:c r="D47" s="38"/>
      <x:c r="E47" s="38"/>
      <x:c r="F47" s="38"/>
      <x:c r="G47" s="38"/>
      <x:c r="H47" s="38"/>
      <x:c r="I47" s="38"/>
      <x:c r="J47" s="38"/>
      <x:c r="K47" s="38"/>
      <x:c r="L47" s="38"/>
      <x:c r="M47" s="38"/>
      <x:c r="N47" s="38"/>
      <x:c r="O47" s="38"/>
      <x:c r="P47" s="38"/>
      <x:c r="Q47" s="38"/>
      <x:c r="R47" s="38"/>
      <x:c r="S47" s="38"/>
      <x:c r="T47" s="38"/>
      <x:c r="U47" s="38"/>
    </x:row>
    <x:row r="48" ht="23" customHeight="1">
      <x:c r="A48" s="38"/>
      <x:c r="B48" s="38"/>
      <x:c r="C48" s="38"/>
      <x:c r="D48" s="38"/>
      <x:c r="E48" s="38"/>
      <x:c r="F48" s="38"/>
      <x:c r="G48" s="38"/>
      <x:c r="H48" s="38"/>
      <x:c r="I48" s="38"/>
      <x:c r="J48" s="38"/>
      <x:c r="K48" s="38"/>
      <x:c r="L48" s="38"/>
      <x:c r="M48" s="38"/>
      <x:c r="N48" s="38"/>
      <x:c r="O48" s="38"/>
      <x:c r="P48" s="38"/>
      <x:c r="Q48" s="38"/>
      <x:c r="R48" s="38"/>
      <x:c r="S48" s="38"/>
      <x:c r="T48" s="38"/>
      <x:c r="U48" s="38"/>
    </x:row>
    <x:row r="49" ht="23" customHeight="1">
      <x:c r="A49" s="38"/>
      <x:c r="B49" s="38"/>
      <x:c r="C49" s="38"/>
      <x:c r="D49" s="38"/>
      <x:c r="E49" s="38"/>
      <x:c r="F49" s="38"/>
      <x:c r="G49" s="38"/>
      <x:c r="H49" s="38"/>
      <x:c r="I49" s="38"/>
      <x:c r="J49" s="38"/>
      <x:c r="K49" s="38"/>
      <x:c r="L49" s="38"/>
      <x:c r="M49" s="38"/>
      <x:c r="N49" s="38"/>
      <x:c r="O49" s="38"/>
      <x:c r="P49" s="38"/>
      <x:c r="Q49" s="38"/>
      <x:c r="R49" s="38"/>
      <x:c r="S49" s="38"/>
      <x:c r="T49" s="38"/>
      <x:c r="U49" s="38"/>
    </x:row>
    <x:row r="50" ht="23" customHeight="1">
      <x:c r="A50" s="38"/>
      <x:c r="B50" s="38"/>
      <x:c r="C50" s="38"/>
      <x:c r="D50" s="38"/>
      <x:c r="E50" s="38"/>
      <x:c r="F50" s="38"/>
      <x:c r="G50" s="38"/>
      <x:c r="H50" s="38"/>
      <x:c r="I50" s="38"/>
      <x:c r="J50" s="38"/>
      <x:c r="K50" s="38"/>
      <x:c r="L50" s="38"/>
      <x:c r="M50" s="38"/>
      <x:c r="N50" s="38"/>
      <x:c r="O50" s="38"/>
      <x:c r="P50" s="38"/>
      <x:c r="Q50" s="38"/>
      <x:c r="R50" s="38"/>
      <x:c r="S50" s="38"/>
      <x:c r="T50" s="38"/>
      <x:c r="U50" s="38"/>
    </x:row>
    <x:row r="51" ht="23" customHeight="1">
      <x:c r="A51" s="38"/>
      <x:c r="B51" s="38"/>
      <x:c r="C51" s="38"/>
      <x:c r="D51" s="38"/>
      <x:c r="E51" s="38"/>
      <x:c r="F51" s="38"/>
      <x:c r="G51" s="38"/>
      <x:c r="H51" s="38"/>
      <x:c r="I51" s="38"/>
      <x:c r="J51" s="38"/>
      <x:c r="K51" s="38"/>
      <x:c r="L51" s="38"/>
      <x:c r="M51" s="38"/>
      <x:c r="N51" s="38"/>
      <x:c r="O51" s="38"/>
      <x:c r="P51" s="38"/>
      <x:c r="Q51" s="38"/>
      <x:c r="R51" s="38"/>
      <x:c r="S51" s="38"/>
      <x:c r="T51" s="38"/>
      <x:c r="U51" s="38"/>
    </x:row>
    <x:row r="52" ht="23" customHeight="1">
      <x:c r="A52" s="38"/>
      <x:c r="B52" s="38"/>
      <x:c r="C52" s="38"/>
      <x:c r="D52" s="38"/>
      <x:c r="E52" s="38"/>
      <x:c r="F52" s="38"/>
      <x:c r="G52" s="38"/>
      <x:c r="H52" s="38"/>
      <x:c r="I52" s="38"/>
      <x:c r="J52" s="38"/>
      <x:c r="K52" s="38"/>
      <x:c r="L52" s="38"/>
      <x:c r="M52" s="38"/>
      <x:c r="N52" s="38"/>
      <x:c r="O52" s="38"/>
      <x:c r="P52" s="38"/>
      <x:c r="Q52" s="38"/>
      <x:c r="R52" s="38"/>
      <x:c r="S52" s="38"/>
      <x:c r="T52" s="38"/>
      <x:c r="U52" s="38"/>
    </x:row>
    <x:row r="53" ht="23" customHeight="1">
      <x:c r="A53" s="38"/>
      <x:c r="B53" s="38"/>
      <x:c r="C53" s="38"/>
      <x:c r="D53" s="38"/>
      <x:c r="E53" s="38"/>
      <x:c r="F53" s="38"/>
      <x:c r="G53" s="38"/>
      <x:c r="H53" s="38"/>
      <x:c r="I53" s="38"/>
      <x:c r="J53" s="38"/>
      <x:c r="K53" s="38"/>
      <x:c r="L53" s="38"/>
      <x:c r="M53" s="38"/>
      <x:c r="N53" s="38"/>
      <x:c r="O53" s="38"/>
      <x:c r="P53" s="38"/>
      <x:c r="Q53" s="38"/>
      <x:c r="R53" s="38"/>
      <x:c r="S53" s="38"/>
      <x:c r="T53" s="38"/>
      <x:c r="U53" s="38"/>
    </x:row>
    <x:row r="54" ht="23" customHeight="1">
      <x:c r="A54" s="38"/>
      <x:c r="B54" s="38"/>
      <x:c r="C54" s="38"/>
      <x:c r="D54" s="38"/>
      <x:c r="E54" s="38"/>
      <x:c r="F54" s="38"/>
      <x:c r="G54" s="38"/>
      <x:c r="H54" s="38"/>
      <x:c r="I54" s="38"/>
      <x:c r="J54" s="38"/>
      <x:c r="K54" s="38"/>
      <x:c r="L54" s="38"/>
      <x:c r="M54" s="38"/>
      <x:c r="N54" s="38"/>
      <x:c r="O54" s="38"/>
      <x:c r="P54" s="38"/>
      <x:c r="Q54" s="38"/>
      <x:c r="R54" s="38"/>
      <x:c r="S54" s="38"/>
      <x:c r="T54" s="38"/>
      <x:c r="U54" s="38"/>
    </x:row>
    <x:row r="55" ht="23" customHeight="1">
      <x:c r="A55" s="38"/>
      <x:c r="B55" s="38"/>
      <x:c r="C55" s="38"/>
      <x:c r="D55" s="38"/>
      <x:c r="E55" s="38"/>
      <x:c r="F55" s="38"/>
      <x:c r="G55" s="38"/>
      <x:c r="H55" s="38"/>
      <x:c r="I55" s="38"/>
      <x:c r="J55" s="38"/>
      <x:c r="K55" s="38"/>
      <x:c r="L55" s="38"/>
      <x:c r="M55" s="38"/>
      <x:c r="N55" s="38"/>
      <x:c r="O55" s="38"/>
      <x:c r="P55" s="38"/>
      <x:c r="Q55" s="38"/>
      <x:c r="R55" s="38"/>
      <x:c r="S55" s="38"/>
      <x:c r="T55" s="38"/>
      <x:c r="U55" s="38"/>
    </x:row>
    <x:row r="56" ht="23" customHeight="1">
      <x:c r="A56" s="38"/>
      <x:c r="B56" s="38"/>
      <x:c r="C56" s="38"/>
      <x:c r="D56" s="38"/>
      <x:c r="E56" s="38"/>
      <x:c r="F56" s="38"/>
      <x:c r="G56" s="38"/>
      <x:c r="H56" s="38"/>
      <x:c r="I56" s="38"/>
      <x:c r="J56" s="38"/>
      <x:c r="K56" s="38"/>
      <x:c r="L56" s="38"/>
      <x:c r="M56" s="38"/>
      <x:c r="N56" s="38"/>
      <x:c r="O56" s="38"/>
      <x:c r="P56" s="38"/>
      <x:c r="Q56" s="38"/>
      <x:c r="R56" s="38"/>
      <x:c r="S56" s="38"/>
      <x:c r="T56" s="38"/>
      <x:c r="U56" s="38"/>
    </x:row>
    <x:row r="57" ht="23" customHeight="1">
      <x:c r="A57" s="38"/>
      <x:c r="B57" s="38"/>
      <x:c r="C57" s="38"/>
      <x:c r="D57" s="38"/>
      <x:c r="E57" s="38"/>
      <x:c r="F57" s="38"/>
      <x:c r="G57" s="38"/>
      <x:c r="H57" s="38"/>
      <x:c r="I57" s="38"/>
      <x:c r="J57" s="38"/>
      <x:c r="K57" s="38"/>
      <x:c r="L57" s="38"/>
      <x:c r="M57" s="38"/>
      <x:c r="N57" s="38"/>
      <x:c r="O57" s="38"/>
      <x:c r="P57" s="38"/>
      <x:c r="Q57" s="38"/>
      <x:c r="R57" s="38"/>
      <x:c r="S57" s="38"/>
      <x:c r="T57" s="38"/>
      <x:c r="U57" s="38"/>
    </x:row>
    <x:row r="58" ht="23" customHeight="1">
      <x:c r="A58" s="38"/>
      <x:c r="B58" s="38"/>
      <x:c r="C58" s="38"/>
      <x:c r="D58" s="38"/>
      <x:c r="E58" s="38"/>
      <x:c r="F58" s="38"/>
      <x:c r="G58" s="38"/>
      <x:c r="H58" s="38"/>
      <x:c r="I58" s="38"/>
      <x:c r="J58" s="38"/>
      <x:c r="K58" s="38"/>
      <x:c r="L58" s="38"/>
      <x:c r="M58" s="38"/>
      <x:c r="N58" s="38"/>
      <x:c r="O58" s="38"/>
      <x:c r="P58" s="38"/>
      <x:c r="Q58" s="38"/>
      <x:c r="R58" s="38"/>
      <x:c r="S58" s="38"/>
      <x:c r="T58" s="38"/>
      <x:c r="U58" s="38"/>
    </x:row>
    <x:row r="59" ht="23" customHeight="1">
      <x:c r="A59" s="38"/>
      <x:c r="B59" s="38"/>
      <x:c r="C59" s="38"/>
      <x:c r="D59" s="38"/>
      <x:c r="E59" s="38"/>
      <x:c r="F59" s="38"/>
      <x:c r="G59" s="38"/>
      <x:c r="H59" s="38"/>
      <x:c r="I59" s="38"/>
      <x:c r="J59" s="38"/>
      <x:c r="K59" s="38"/>
      <x:c r="L59" s="38"/>
      <x:c r="M59" s="38"/>
      <x:c r="N59" s="38"/>
      <x:c r="O59" s="38"/>
      <x:c r="P59" s="38"/>
      <x:c r="Q59" s="38"/>
      <x:c r="R59" s="38"/>
      <x:c r="S59" s="38"/>
      <x:c r="T59" s="38"/>
      <x:c r="U59" s="38"/>
    </x:row>
    <x:row r="60" ht="23" customHeight="1">
      <x:c r="A60" s="38"/>
      <x:c r="B60" s="38"/>
      <x:c r="C60" s="38"/>
      <x:c r="D60" s="38"/>
      <x:c r="E60" s="38"/>
      <x:c r="F60" s="38"/>
      <x:c r="G60" s="38"/>
      <x:c r="H60" s="38"/>
      <x:c r="I60" s="38"/>
      <x:c r="J60" s="38"/>
      <x:c r="K60" s="38"/>
      <x:c r="L60" s="38"/>
      <x:c r="M60" s="38"/>
      <x:c r="N60" s="38"/>
      <x:c r="O60" s="38"/>
      <x:c r="P60" s="38"/>
      <x:c r="Q60" s="38"/>
      <x:c r="R60" s="38"/>
      <x:c r="S60" s="38"/>
      <x:c r="T60" s="38"/>
      <x:c r="U60" s="38"/>
    </x:row>
    <x:row r="61" ht="23" customHeight="1">
      <x:c r="A61" s="38"/>
      <x:c r="B61" s="38"/>
      <x:c r="C61" s="38"/>
      <x:c r="D61" s="38"/>
      <x:c r="E61" s="38"/>
      <x:c r="F61" s="38"/>
      <x:c r="G61" s="38"/>
      <x:c r="H61" s="38"/>
      <x:c r="I61" s="38"/>
      <x:c r="J61" s="38"/>
      <x:c r="K61" s="38"/>
      <x:c r="L61" s="38"/>
      <x:c r="M61" s="38"/>
      <x:c r="N61" s="38"/>
      <x:c r="O61" s="38"/>
      <x:c r="P61" s="38"/>
      <x:c r="Q61" s="38"/>
      <x:c r="R61" s="38"/>
      <x:c r="S61" s="38"/>
      <x:c r="T61" s="38"/>
      <x:c r="U61" s="38"/>
    </x:row>
    <x:row r="62" ht="23" customHeight="1">
      <x:c r="A62" s="38"/>
      <x:c r="B62" s="38"/>
      <x:c r="C62" s="38"/>
      <x:c r="D62" s="38"/>
      <x:c r="E62" s="38"/>
      <x:c r="F62" s="38"/>
      <x:c r="G62" s="38"/>
      <x:c r="H62" s="38"/>
      <x:c r="I62" s="38"/>
      <x:c r="J62" s="38"/>
      <x:c r="K62" s="38"/>
      <x:c r="L62" s="38"/>
      <x:c r="M62" s="38"/>
      <x:c r="N62" s="38"/>
      <x:c r="O62" s="38"/>
      <x:c r="P62" s="38"/>
      <x:c r="Q62" s="38"/>
      <x:c r="R62" s="38"/>
      <x:c r="S62" s="38"/>
      <x:c r="T62" s="38"/>
      <x:c r="U62" s="38"/>
    </x:row>
    <x:row r="63" ht="23" customHeight="1">
      <x:c r="A63" s="38"/>
      <x:c r="B63" s="38"/>
      <x:c r="C63" s="38"/>
      <x:c r="D63" s="38"/>
      <x:c r="E63" s="38"/>
      <x:c r="F63" s="38"/>
      <x:c r="G63" s="38"/>
      <x:c r="H63" s="38"/>
      <x:c r="I63" s="38"/>
      <x:c r="J63" s="38"/>
      <x:c r="K63" s="38"/>
      <x:c r="L63" s="38"/>
      <x:c r="M63" s="38"/>
      <x:c r="N63" s="38"/>
      <x:c r="O63" s="38"/>
      <x:c r="P63" s="38"/>
      <x:c r="Q63" s="38"/>
      <x:c r="R63" s="38"/>
      <x:c r="S63" s="38"/>
      <x:c r="T63" s="38"/>
      <x:c r="U63" s="38"/>
    </x:row>
    <x:row r="64" ht="23" customHeight="1">
      <x:c r="A64" s="38"/>
      <x:c r="B64" s="38"/>
      <x:c r="C64" s="38"/>
      <x:c r="D64" s="38"/>
      <x:c r="E64" s="38"/>
      <x:c r="F64" s="38"/>
      <x:c r="G64" s="38"/>
      <x:c r="H64" s="38"/>
      <x:c r="I64" s="38"/>
      <x:c r="J64" s="38"/>
      <x:c r="K64" s="38"/>
      <x:c r="L64" s="38"/>
      <x:c r="M64" s="38"/>
      <x:c r="N64" s="38"/>
      <x:c r="O64" s="38"/>
      <x:c r="P64" s="38"/>
      <x:c r="Q64" s="38"/>
      <x:c r="R64" s="38"/>
      <x:c r="S64" s="38"/>
      <x:c r="T64" s="38"/>
      <x:c r="U64" s="38"/>
    </x:row>
    <x:row r="65" ht="23" customHeight="1">
      <x:c r="A65" s="38"/>
      <x:c r="B65" s="38"/>
      <x:c r="C65" s="38"/>
      <x:c r="D65" s="38"/>
      <x:c r="E65" s="38"/>
      <x:c r="F65" s="38"/>
      <x:c r="G65" s="38"/>
      <x:c r="H65" s="38"/>
      <x:c r="I65" s="38"/>
      <x:c r="J65" s="38"/>
      <x:c r="K65" s="38"/>
      <x:c r="L65" s="38"/>
      <x:c r="M65" s="38"/>
      <x:c r="N65" s="38"/>
      <x:c r="O65" s="38"/>
      <x:c r="P65" s="38"/>
      <x:c r="Q65" s="38"/>
      <x:c r="R65" s="38"/>
      <x:c r="S65" s="38"/>
      <x:c r="T65" s="38"/>
      <x:c r="U65" s="38"/>
    </x:row>
    <x:row r="66" ht="23" customHeight="1">
      <x:c r="A66" s="38"/>
      <x:c r="B66" s="38"/>
      <x:c r="C66" s="38"/>
      <x:c r="D66" s="38"/>
      <x:c r="E66" s="38"/>
      <x:c r="F66" s="38"/>
      <x:c r="G66" s="38"/>
      <x:c r="H66" s="38"/>
      <x:c r="I66" s="38"/>
      <x:c r="J66" s="38"/>
      <x:c r="K66" s="38"/>
      <x:c r="L66" s="38"/>
      <x:c r="M66" s="38"/>
      <x:c r="N66" s="38"/>
      <x:c r="O66" s="38"/>
      <x:c r="P66" s="38"/>
      <x:c r="Q66" s="38"/>
      <x:c r="R66" s="38"/>
      <x:c r="S66" s="38"/>
      <x:c r="T66" s="38"/>
      <x:c r="U66" s="38"/>
    </x:row>
    <x:row r="67" ht="23" customHeight="1">
      <x:c r="A67" s="38"/>
      <x:c r="B67" s="38"/>
      <x:c r="C67" s="38"/>
      <x:c r="D67" s="38"/>
      <x:c r="E67" s="38"/>
      <x:c r="F67" s="38"/>
      <x:c r="G67" s="38"/>
      <x:c r="H67" s="38"/>
      <x:c r="I67" s="38"/>
      <x:c r="J67" s="38"/>
      <x:c r="K67" s="38"/>
      <x:c r="L67" s="38"/>
      <x:c r="M67" s="38"/>
      <x:c r="N67" s="38"/>
      <x:c r="O67" s="38"/>
      <x:c r="P67" s="38"/>
      <x:c r="Q67" s="38"/>
      <x:c r="R67" s="38"/>
      <x:c r="S67" s="38"/>
      <x:c r="T67" s="38"/>
      <x:c r="U67" s="38"/>
    </x:row>
    <x:row r="68" ht="23" customHeight="1">
      <x:c r="A68" s="38"/>
      <x:c r="B68" s="38"/>
      <x:c r="C68" s="38"/>
      <x:c r="D68" s="38"/>
      <x:c r="E68" s="38"/>
      <x:c r="F68" s="38"/>
      <x:c r="G68" s="38"/>
      <x:c r="H68" s="38"/>
      <x:c r="I68" s="38"/>
      <x:c r="J68" s="38"/>
      <x:c r="K68" s="38"/>
      <x:c r="L68" s="38"/>
      <x:c r="M68" s="38"/>
      <x:c r="N68" s="38"/>
      <x:c r="O68" s="38"/>
      <x:c r="P68" s="38"/>
      <x:c r="Q68" s="38"/>
      <x:c r="R68" s="38"/>
      <x:c r="S68" s="38"/>
      <x:c r="T68" s="38"/>
      <x:c r="U68" s="38"/>
    </x:row>
    <x:row r="69" ht="23" customHeight="1">
      <x:c r="A69" s="38"/>
      <x:c r="B69" s="38"/>
      <x:c r="C69" s="38"/>
      <x:c r="D69" s="38"/>
      <x:c r="E69" s="38"/>
      <x:c r="F69" s="38"/>
      <x:c r="G69" s="38"/>
      <x:c r="H69" s="38"/>
      <x:c r="I69" s="38"/>
      <x:c r="J69" s="38"/>
      <x:c r="K69" s="38"/>
      <x:c r="L69" s="38"/>
      <x:c r="M69" s="38"/>
      <x:c r="N69" s="38"/>
      <x:c r="O69" s="38"/>
      <x:c r="P69" s="38"/>
      <x:c r="Q69" s="38"/>
      <x:c r="R69" s="38"/>
      <x:c r="S69" s="38"/>
      <x:c r="T69" s="38"/>
      <x:c r="U69" s="38"/>
    </x:row>
    <x:row r="70" ht="23" customHeight="1">
      <x:c r="A70" s="38"/>
      <x:c r="B70" s="38"/>
      <x:c r="C70" s="38"/>
      <x:c r="D70" s="38"/>
      <x:c r="E70" s="38"/>
      <x:c r="F70" s="38"/>
      <x:c r="G70" s="38"/>
      <x:c r="H70" s="38"/>
      <x:c r="I70" s="38"/>
      <x:c r="J70" s="38"/>
      <x:c r="K70" s="38"/>
      <x:c r="L70" s="38"/>
      <x:c r="M70" s="38"/>
      <x:c r="N70" s="38"/>
      <x:c r="O70" s="38"/>
      <x:c r="P70" s="38"/>
      <x:c r="Q70" s="38"/>
      <x:c r="R70" s="38"/>
      <x:c r="S70" s="38"/>
      <x:c r="T70" s="38"/>
      <x:c r="U70" s="38"/>
    </x:row>
    <x:row r="71" ht="23" customHeight="1">
      <x:c r="A71" s="38"/>
      <x:c r="B71" s="38"/>
      <x:c r="C71" s="38"/>
      <x:c r="D71" s="38"/>
      <x:c r="E71" s="38"/>
      <x:c r="F71" s="38"/>
      <x:c r="G71" s="38"/>
      <x:c r="H71" s="38"/>
      <x:c r="I71" s="38"/>
      <x:c r="J71" s="38"/>
      <x:c r="K71" s="38"/>
      <x:c r="L71" s="38"/>
      <x:c r="M71" s="38"/>
      <x:c r="N71" s="38"/>
      <x:c r="O71" s="38"/>
      <x:c r="P71" s="38"/>
      <x:c r="Q71" s="38"/>
      <x:c r="R71" s="38"/>
      <x:c r="S71" s="38"/>
      <x:c r="T71" s="38"/>
      <x:c r="U71" s="38"/>
    </x:row>
    <x:row r="72" ht="23" customHeight="1">
      <x:c r="A72" s="38"/>
      <x:c r="B72" s="38"/>
      <x:c r="C72" s="38"/>
      <x:c r="D72" s="38"/>
      <x:c r="E72" s="38"/>
      <x:c r="F72" s="38"/>
      <x:c r="G72" s="38"/>
      <x:c r="H72" s="38"/>
      <x:c r="I72" s="38"/>
      <x:c r="J72" s="38"/>
      <x:c r="K72" s="38"/>
      <x:c r="L72" s="38"/>
      <x:c r="M72" s="38"/>
      <x:c r="N72" s="38"/>
      <x:c r="O72" s="38"/>
      <x:c r="P72" s="38"/>
      <x:c r="Q72" s="38"/>
      <x:c r="R72" s="38"/>
      <x:c r="S72" s="38"/>
      <x:c r="T72" s="38"/>
      <x:c r="U72" s="38"/>
    </x:row>
    <x:row r="73" ht="23" customHeight="1">
      <x:c r="A73" s="38"/>
      <x:c r="B73" s="38"/>
      <x:c r="C73" s="38"/>
      <x:c r="D73" s="38"/>
      <x:c r="E73" s="38"/>
      <x:c r="F73" s="38"/>
      <x:c r="G73" s="38"/>
      <x:c r="H73" s="38"/>
      <x:c r="I73" s="38"/>
      <x:c r="J73" s="38"/>
      <x:c r="K73" s="38"/>
      <x:c r="L73" s="38"/>
      <x:c r="M73" s="38"/>
      <x:c r="N73" s="38"/>
      <x:c r="O73" s="38"/>
      <x:c r="P73" s="38"/>
      <x:c r="Q73" s="38"/>
      <x:c r="R73" s="38"/>
      <x:c r="S73" s="38"/>
      <x:c r="T73" s="38"/>
      <x:c r="U73" s="38"/>
    </x:row>
    <x:row r="74" ht="23" customHeight="1">
      <x:c r="A74" s="38"/>
      <x:c r="B74" s="38"/>
      <x:c r="C74" s="38"/>
      <x:c r="D74" s="38"/>
      <x:c r="E74" s="38"/>
      <x:c r="F74" s="38"/>
      <x:c r="G74" s="38"/>
      <x:c r="H74" s="38"/>
      <x:c r="I74" s="38"/>
      <x:c r="J74" s="38"/>
      <x:c r="K74" s="38"/>
      <x:c r="L74" s="38"/>
      <x:c r="M74" s="38"/>
      <x:c r="N74" s="38"/>
      <x:c r="O74" s="38"/>
      <x:c r="P74" s="38"/>
      <x:c r="Q74" s="38"/>
      <x:c r="R74" s="38"/>
      <x:c r="S74" s="38"/>
      <x:c r="T74" s="38"/>
      <x:c r="U74" s="38"/>
    </x:row>
    <x:row r="75" ht="23" customHeight="1">
      <x:c r="A75" s="38"/>
      <x:c r="B75" s="38"/>
      <x:c r="C75" s="38"/>
      <x:c r="D75" s="38"/>
      <x:c r="E75" s="38"/>
      <x:c r="F75" s="38"/>
      <x:c r="G75" s="38"/>
      <x:c r="H75" s="38"/>
      <x:c r="I75" s="38"/>
      <x:c r="J75" s="38"/>
      <x:c r="K75" s="38"/>
      <x:c r="L75" s="38"/>
      <x:c r="M75" s="38"/>
      <x:c r="N75" s="38"/>
      <x:c r="O75" s="38"/>
      <x:c r="P75" s="38"/>
      <x:c r="Q75" s="38"/>
      <x:c r="R75" s="38"/>
      <x:c r="S75" s="38"/>
      <x:c r="T75" s="38"/>
      <x:c r="U75" s="38"/>
    </x:row>
    <x:row r="76" ht="23" customHeight="1">
      <x:c r="A76" s="38"/>
      <x:c r="B76" s="38"/>
      <x:c r="C76" s="38"/>
      <x:c r="D76" s="38"/>
      <x:c r="E76" s="38"/>
      <x:c r="F76" s="38"/>
      <x:c r="G76" s="38"/>
      <x:c r="H76" s="38"/>
      <x:c r="I76" s="38"/>
      <x:c r="J76" s="38"/>
      <x:c r="K76" s="38"/>
      <x:c r="L76" s="38"/>
      <x:c r="M76" s="38"/>
      <x:c r="N76" s="38"/>
      <x:c r="O76" s="38"/>
      <x:c r="P76" s="38"/>
      <x:c r="Q76" s="38"/>
      <x:c r="R76" s="38"/>
      <x:c r="S76" s="38"/>
      <x:c r="T76" s="38"/>
      <x:c r="U76" s="38"/>
    </x:row>
    <x:row r="77" ht="23" customHeight="1">
      <x:c r="A77" s="38"/>
      <x:c r="B77" s="38"/>
      <x:c r="C77" s="38"/>
      <x:c r="D77" s="38"/>
      <x:c r="E77" s="38"/>
      <x:c r="F77" s="38"/>
      <x:c r="G77" s="38"/>
      <x:c r="H77" s="38"/>
      <x:c r="I77" s="38"/>
      <x:c r="J77" s="38"/>
      <x:c r="K77" s="38"/>
      <x:c r="L77" s="38"/>
      <x:c r="M77" s="38"/>
      <x:c r="N77" s="38"/>
      <x:c r="O77" s="38"/>
      <x:c r="P77" s="38"/>
      <x:c r="Q77" s="38"/>
      <x:c r="R77" s="38"/>
      <x:c r="S77" s="38"/>
      <x:c r="T77" s="38"/>
      <x:c r="U77" s="38"/>
    </x:row>
    <x:row r="78" ht="23" customHeight="1">
      <x:c r="A78" s="38"/>
      <x:c r="B78" s="38"/>
      <x:c r="C78" s="38"/>
      <x:c r="D78" s="38"/>
      <x:c r="E78" s="38"/>
      <x:c r="F78" s="38"/>
      <x:c r="G78" s="38"/>
      <x:c r="H78" s="38"/>
      <x:c r="I78" s="38"/>
      <x:c r="J78" s="38"/>
      <x:c r="K78" s="38"/>
      <x:c r="L78" s="38"/>
      <x:c r="M78" s="38"/>
      <x:c r="N78" s="38"/>
      <x:c r="O78" s="38"/>
      <x:c r="P78" s="38"/>
      <x:c r="Q78" s="38"/>
      <x:c r="R78" s="38"/>
      <x:c r="S78" s="38"/>
      <x:c r="T78" s="38"/>
      <x:c r="U78" s="38"/>
    </x:row>
    <x:row r="79" ht="23" customHeight="1">
      <x:c r="A79" s="38"/>
      <x:c r="B79" s="38"/>
      <x:c r="C79" s="38"/>
      <x:c r="D79" s="38"/>
      <x:c r="E79" s="38"/>
      <x:c r="F79" s="38"/>
      <x:c r="G79" s="38"/>
      <x:c r="H79" s="38"/>
      <x:c r="I79" s="38"/>
      <x:c r="J79" s="38"/>
      <x:c r="K79" s="38"/>
      <x:c r="L79" s="38"/>
      <x:c r="M79" s="38"/>
      <x:c r="N79" s="38"/>
      <x:c r="O79" s="38"/>
      <x:c r="P79" s="38"/>
      <x:c r="Q79" s="38"/>
      <x:c r="R79" s="38"/>
      <x:c r="S79" s="38"/>
      <x:c r="T79" s="38"/>
      <x:c r="U79" s="38"/>
    </x:row>
    <x:row r="80" ht="23" customHeight="1">
      <x:c r="A80" s="38"/>
      <x:c r="B80" s="38"/>
      <x:c r="C80" s="38"/>
      <x:c r="D80" s="38"/>
      <x:c r="E80" s="38"/>
      <x:c r="F80" s="38"/>
      <x:c r="G80" s="38"/>
      <x:c r="H80" s="38"/>
      <x:c r="I80" s="38"/>
      <x:c r="J80" s="38"/>
      <x:c r="K80" s="38"/>
      <x:c r="L80" s="38"/>
      <x:c r="M80" s="38"/>
      <x:c r="N80" s="38"/>
      <x:c r="O80" s="38"/>
      <x:c r="P80" s="38"/>
      <x:c r="Q80" s="38"/>
      <x:c r="R80" s="38"/>
      <x:c r="S80" s="38"/>
      <x:c r="T80" s="38"/>
      <x:c r="U80" s="38"/>
    </x:row>
    <x:row r="81" ht="23" customHeight="1">
      <x:c r="A81" s="38"/>
      <x:c r="B81" s="38"/>
      <x:c r="C81" s="38"/>
      <x:c r="D81" s="38"/>
      <x:c r="E81" s="38"/>
      <x:c r="F81" s="38"/>
      <x:c r="G81" s="38"/>
      <x:c r="H81" s="38"/>
      <x:c r="I81" s="38"/>
      <x:c r="J81" s="38"/>
      <x:c r="K81" s="38"/>
      <x:c r="L81" s="38"/>
      <x:c r="M81" s="38"/>
      <x:c r="N81" s="38"/>
      <x:c r="O81" s="38"/>
      <x:c r="P81" s="38"/>
      <x:c r="Q81" s="38"/>
      <x:c r="R81" s="38"/>
      <x:c r="S81" s="38"/>
      <x:c r="T81" s="38"/>
      <x:c r="U81" s="38"/>
    </x:row>
    <x:row r="82" ht="23" customHeight="1">
      <x:c r="A82" s="38"/>
      <x:c r="B82" s="38"/>
      <x:c r="C82" s="38"/>
      <x:c r="D82" s="38"/>
      <x:c r="E82" s="38"/>
      <x:c r="F82" s="38"/>
      <x:c r="G82" s="38"/>
      <x:c r="H82" s="38"/>
      <x:c r="I82" s="38"/>
      <x:c r="J82" s="38"/>
      <x:c r="K82" s="38"/>
      <x:c r="L82" s="38"/>
      <x:c r="M82" s="38"/>
      <x:c r="N82" s="38"/>
      <x:c r="O82" s="38"/>
      <x:c r="P82" s="38"/>
      <x:c r="Q82" s="38"/>
      <x:c r="R82" s="38"/>
      <x:c r="S82" s="38"/>
      <x:c r="T82" s="38"/>
      <x:c r="U82" s="38"/>
    </x:row>
    <x:row r="83" ht="23" customHeight="1">
      <x:c r="A83" s="38"/>
      <x:c r="B83" s="38"/>
      <x:c r="C83" s="38"/>
      <x:c r="D83" s="38"/>
      <x:c r="E83" s="38"/>
      <x:c r="F83" s="38"/>
      <x:c r="G83" s="38"/>
      <x:c r="H83" s="38"/>
      <x:c r="I83" s="38"/>
      <x:c r="J83" s="38"/>
      <x:c r="K83" s="38"/>
      <x:c r="L83" s="38"/>
      <x:c r="M83" s="38"/>
      <x:c r="N83" s="38"/>
      <x:c r="O83" s="38"/>
      <x:c r="P83" s="38"/>
      <x:c r="Q83" s="38"/>
      <x:c r="R83" s="38"/>
      <x:c r="S83" s="38"/>
      <x:c r="T83" s="38"/>
      <x:c r="U83" s="38"/>
    </x:row>
    <x:row r="84" ht="23" customHeight="1">
      <x:c r="A84" s="38"/>
      <x:c r="B84" s="38"/>
      <x:c r="C84" s="38"/>
      <x:c r="D84" s="38"/>
      <x:c r="E84" s="38"/>
      <x:c r="F84" s="38"/>
      <x:c r="G84" s="38"/>
      <x:c r="H84" s="38"/>
      <x:c r="I84" s="38"/>
      <x:c r="J84" s="38"/>
      <x:c r="K84" s="38"/>
      <x:c r="L84" s="38"/>
      <x:c r="M84" s="38"/>
      <x:c r="N84" s="38"/>
      <x:c r="O84" s="38"/>
      <x:c r="P84" s="38"/>
      <x:c r="Q84" s="38"/>
      <x:c r="R84" s="38"/>
      <x:c r="S84" s="38"/>
      <x:c r="T84" s="38"/>
      <x:c r="U84" s="38"/>
    </x:row>
    <x:row r="85" ht="23" customHeight="1">
      <x:c r="A85" s="38"/>
      <x:c r="B85" s="38"/>
      <x:c r="C85" s="38"/>
      <x:c r="D85" s="38"/>
      <x:c r="E85" s="38"/>
      <x:c r="F85" s="38"/>
      <x:c r="G85" s="38"/>
      <x:c r="H85" s="38"/>
      <x:c r="I85" s="38"/>
      <x:c r="J85" s="38"/>
      <x:c r="K85" s="38"/>
      <x:c r="L85" s="38"/>
      <x:c r="M85" s="38"/>
      <x:c r="N85" s="38"/>
      <x:c r="O85" s="38"/>
      <x:c r="P85" s="38"/>
      <x:c r="Q85" s="38"/>
      <x:c r="R85" s="38"/>
      <x:c r="S85" s="38"/>
      <x:c r="T85" s="38"/>
      <x:c r="U85" s="38"/>
    </x:row>
  </x:sheetData>
  <x:mergeCells>
    <x:mergeCell ref="B2:J3"/>
    <x:mergeCell ref="B4:J5"/>
    <x:mergeCell ref="C9:J9"/>
    <x:mergeCell ref="C10:J10"/>
    <x:mergeCell ref="C11:J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8:J28"/>
    <x:mergeCell ref="C29:J29"/>
    <x:mergeCell ref="C30:J30"/>
    <x:mergeCell ref="C31:J31"/>
    <x:mergeCell ref="C32:J32"/>
    <x:mergeCell ref="C33:J33"/>
  </x:mergeCells>
  <x:pageMargins left="0.7" right="0.7" top="0.75" bottom="0.75" header="0.3" footer="0.3"/>
</x:worksheet>
</file>